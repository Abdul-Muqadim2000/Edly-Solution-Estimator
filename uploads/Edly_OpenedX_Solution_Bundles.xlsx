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ndle Catalog" sheetId="1" state="visible" r:id="rId3"/>
    <sheet name="B01 Commerce &amp; Monetization" sheetId="2" state="visible" r:id="rId4"/>
    <sheet name="B02 Localization &amp; Global" sheetId="3" state="visible" r:id="rId5"/>
    <sheet name="B03 AI Learning Experience" sheetId="4" state="visible" r:id="rId6"/>
    <sheet name="B04 Assessment &amp; Credentials" sheetId="5" state="visible" r:id="rId7"/>
    <sheet name="B05 Learning Paths" sheetId="6" state="visible" r:id="rId8"/>
    <sheet name="B06 Interactive Content Pack" sheetId="7" state="visible" r:id="rId9"/>
    <sheet name="B07 Engagement &amp; Feedback" sheetId="8" state="visible" r:id="rId10"/>
    <sheet name="B08 Academy Ops (ILT)" sheetId="9" state="visible" r:id="rId11"/>
    <sheet name="B09 Branding &amp; White-Label" sheetId="10" state="visible" r:id="rId12"/>
    <sheet name="B10 Multisite &amp; SaaS Ops" sheetId="11" state="visible" r:id="rId13"/>
    <sheet name="B11 Admin Productivity" sheetId="12" state="visible" r:id="rId14"/>
    <sheet name="B12 Analytics &amp; Growth" sheetId="13" state="visible" r:id="rId15"/>
    <sheet name="B13 Identity &amp; SSO" sheetId="14" state="visible" r:id="rId16"/>
    <sheet name="B14 WordPress Marketing" sheetId="15" state="visible" r:id="rId17"/>
    <sheet name="B15 Platform Eng &amp; Integrations" sheetId="16" state="visible" r:id="rId18"/>
    <sheet name="All Components" sheetId="17" state="visible" r:id="rId19"/>
  </sheets>
  <definedNames>
    <definedName function="false" hidden="true" localSheetId="16" name="_xlnm._FilterDatabase" vbProcedure="false">'All Components'!$A$3:$N$90</definedName>
    <definedName function="false" hidden="true" localSheetId="1" name="_xlnm._FilterDatabase" vbProcedure="false">'B01 Commerce &amp; Monetization'!$A$6:$N$13</definedName>
    <definedName function="false" hidden="true" localSheetId="2" name="_xlnm._FilterDatabase" vbProcedure="false">'B02 Localization &amp; Global'!$A$6:$N$11</definedName>
    <definedName function="false" hidden="true" localSheetId="3" name="_xlnm._FilterDatabase" vbProcedure="false">'B03 AI Learning Experience'!$A$6:$N$8</definedName>
    <definedName function="false" hidden="true" localSheetId="4" name="_xlnm._FilterDatabase" vbProcedure="false">'B04 Assessment &amp; Credentials'!$A$6:$N$13</definedName>
    <definedName function="false" hidden="true" localSheetId="5" name="_xlnm._FilterDatabase" vbProcedure="false">'B05 Learning Paths'!$A$6:$N$10</definedName>
    <definedName function="false" hidden="true" localSheetId="6" name="_xlnm._FilterDatabase" vbProcedure="false">'B06 Interactive Content Pack'!$A$6:$N$20</definedName>
    <definedName function="false" hidden="true" localSheetId="7" name="_xlnm._FilterDatabase" vbProcedure="false">'B07 Engagement &amp; Feedback'!$A$6:$N$11</definedName>
    <definedName function="false" hidden="true" localSheetId="8" name="_xlnm._FilterDatabase" vbProcedure="false">'B08 Academy Ops (ILT)'!$A$6:$N$10</definedName>
    <definedName function="false" hidden="true" localSheetId="9" name="_xlnm._FilterDatabase" vbProcedure="false">'B09 Branding &amp; White-Label'!$A$6:$N$9</definedName>
    <definedName function="false" hidden="true" localSheetId="10" name="_xlnm._FilterDatabase" vbProcedure="false">'B10 Multisite &amp; SaaS Ops'!$A$6:$N$11</definedName>
    <definedName function="false" hidden="true" localSheetId="11" name="_xlnm._FilterDatabase" vbProcedure="false">'B11 Admin Productivity'!$A$6:$N$15</definedName>
    <definedName function="false" hidden="true" localSheetId="12" name="_xlnm._FilterDatabase" vbProcedure="false">'B12 Analytics &amp; Growth'!$A$6:$N$12</definedName>
    <definedName function="false" hidden="true" localSheetId="13" name="_xlnm._FilterDatabase" vbProcedure="false">'B13 Identity &amp; SSO'!$A$6:$N$10</definedName>
    <definedName function="false" hidden="true" localSheetId="14" name="_xlnm._FilterDatabase" vbProcedure="false">'B14 WordPress Marketing'!$A$6:$N$10</definedName>
    <definedName function="false" hidden="true" localSheetId="15" name="_xlnm._FilterDatabase" vbProcedure="false">'B15 Platform Eng &amp; Integrations'!$A$6:$N$14</definedName>
    <definedName function="false" hidden="true" localSheetId="0" name="_xlnm._FilterDatabase" vbProcedure="false">'Bundle Catalog'!$A$4:$O$19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<sst xmlns="http://schemas.openxmlformats.org/spreadsheetml/2006/main" count="2257" uniqueCount="622">
  <si>
    <t xml:space="preserve">Edly — Open edX Solution Bundles (Sales Catalog)</t>
  </si>
  <si>
    <t xml:space="preserve">87 client-proven Open edX customizations (EDU-004–EDU-090) grouped into 15 sellable bundles. Click a bundle name for its detail sheet. Compiled 29 Aug 2026 from the master sales sheet.</t>
  </si>
  <si>
    <t xml:space="preserve">Bundle ID</t>
  </si>
  <si>
    <t xml:space="preserve">Bundle</t>
  </si>
  <si>
    <t xml:space="preserve">What it delivers (elevator pitch)</t>
  </si>
  <si>
    <t xml:space="preserve">Offer when the client asks about…</t>
  </si>
  <si>
    <t xml:space="preserve">Features</t>
  </si>
  <si>
    <t xml:space="preserve">Solution IDs</t>
  </si>
  <si>
    <t xml:space="preserve">Build hrs already engineered</t>
  </si>
  <si>
    <t xml:space="preserve">First-delivery hrs (est.)</t>
  </si>
  <si>
    <t xml:space="preserve">Repeat-delivery hrs (est.)</t>
  </si>
  <si>
    <t xml:space="preserve">Effort saved vs building new</t>
  </si>
  <si>
    <t xml:space="preserve">No-estimate items</t>
  </si>
  <si>
    <t xml:space="preserve">In-dev items</t>
  </si>
  <si>
    <t xml:space="preserve">Client accounts required (client-held)</t>
  </si>
  <si>
    <t xml:space="preserve">Pairs well with</t>
  </si>
  <si>
    <t xml:space="preserve">Bundle list price — FILL IN</t>
  </si>
  <si>
    <t xml:space="preserve">B01</t>
  </si>
  <si>
    <t xml:space="preserve">Commerce &amp; Monetization</t>
  </si>
  <si>
    <t xml:space="preserve">Everything a client needs to charge for learning: checkout through five payment gateways (including regional ones), storefront payments via WooCommerce, and time-based subscription access to courses.</t>
  </si>
  <si>
    <t xml:space="preserve">pricing / paid courses · payment gateways &amp; checkout · subscriptions · selling in specific regions (e.g. Egypt via Cowpay)</t>
  </si>
  <si>
    <t xml:space="preserve">EDU-042, EDU-069–074</t>
  </si>
  <si>
    <t xml:space="preserve">Authorize.Net; Cowpay; Cybersource; PayPal; Stripe; Stripe (and WooCommerce)</t>
  </si>
  <si>
    <t xml:space="preserve">B14 (storefront), B10 (free trials)</t>
  </si>
  <si>
    <t xml:space="preserve">B02</t>
  </si>
  <si>
    <t xml:space="preserve">Localization &amp; Global Delivery</t>
  </si>
  <si>
    <t xml:space="preserve">Take one catalog global: translated course re-runs, AI translation of course content and platform strings, automatic language selection per course, and WPML-backed multilingual site content.</t>
  </si>
  <si>
    <t xml:space="preserve">multi-language platform · Arabic/French/Spanish content · AI translation · serving learners across countries</t>
  </si>
  <si>
    <t xml:space="preserve">EDU-004, EDU-024–025, EDU-031, EDU-083</t>
  </si>
  <si>
    <t xml:space="preserve">AI/LLM translation provider; LLM/translation provider; WPML</t>
  </si>
  <si>
    <t xml:space="preserve">B03 (AI), B14 (site)</t>
  </si>
  <si>
    <t xml:space="preserve">B03</t>
  </si>
  <si>
    <t xml:space="preserve">AI Learning Experience</t>
  </si>
  <si>
    <t xml:space="preserve">Embed an AI tutor inside courses: per-unit AI chat attached to xBlocks plus a standalone chat xBlock, powered by an external AI chat service.</t>
  </si>
  <si>
    <t xml:space="preserve">AI tutor / chatbot inside courses · AI-assisted learner support</t>
  </si>
  <si>
    <t xml:space="preserve">EDU-027–028</t>
  </si>
  <si>
    <t xml:space="preserve">MIT Open Learning AI chat service; MIT Open Learning chat service</t>
  </si>
  <si>
    <t xml:space="preserve">B02 (AI translations)</t>
  </si>
  <si>
    <t xml:space="preserve">B04</t>
  </si>
  <si>
    <t xml:space="preserve">Assessment &amp; Credentialing</t>
  </si>
  <si>
    <t xml:space="preserve">Assess and certify beyond stock Open edX: staff-graded assignments, peer evaluations, live in-class responses, video-based rater certification, plus badges, Badgr and program certificates learners can show off.</t>
  </si>
  <si>
    <t xml:space="preserve">manual/staff grading · peer review · live quizzes · certification workflows · badges &amp; certificates</t>
  </si>
  <si>
    <t xml:space="preserve">EDU-010, EDU-013, EDU-036, EDU-038, EDU-065, EDU-076, EDU-089</t>
  </si>
  <si>
    <t xml:space="preserve">Badgr</t>
  </si>
  <si>
    <t xml:space="preserve">B05 (paths)</t>
  </si>
  <si>
    <t xml:space="preserve">B05</t>
  </si>
  <si>
    <t xml:space="preserve">Learning Paths &amp; Curriculum</t>
  </si>
  <si>
    <t xml:space="preserve">Structure the learning journey: electives learners choose, instructor-approved gated progression between sections, post-course recommendations, and course-to-program aggregation in Discovery.</t>
  </si>
  <si>
    <t xml:space="preserve">learning paths · electives · prerequisites / gated progression · programs · course recommendations</t>
  </si>
  <si>
    <t xml:space="preserve">EDU-009, EDU-012, EDU-015, EDU-075</t>
  </si>
  <si>
    <t xml:space="preserve">—</t>
  </si>
  <si>
    <t xml:space="preserve">B04 (credentials), B08 (ILT)</t>
  </si>
  <si>
    <t xml:space="preserve">B06</t>
  </si>
  <si>
    <t xml:space="preserve">Interactive Content Pack (XBlocks)</t>
  </si>
  <si>
    <t xml:space="preserve">Fourteen ready-to-install XBlocks that make courses richer: polls, surveys, annotations, audio, PDF and Google Drive embeds, image explorer, step builder, word cloud, KWL, vector draw, reusable libraries, Google Calendar and Instruqt hands-on labs.</t>
  </si>
  <si>
    <t xml:space="preserve">more engaging course content · interactive activities · hands-on labs · embedding media &amp; files</t>
  </si>
  <si>
    <t xml:space="preserve">EDU-044, EDU-049–061</t>
  </si>
  <si>
    <t xml:space="preserve">Instruqt</t>
  </si>
  <si>
    <t xml:space="preserve">B07 (engagement)</t>
  </si>
  <si>
    <t xml:space="preserve">B07</t>
  </si>
  <si>
    <t xml:space="preserve">Learner Engagement &amp; Feedback</t>
  </si>
  <si>
    <t xml:space="preserve">Keep learners active and heard: @-mention notifications in forums, learner-instructor feedback both ways, per-block feedback triggers, admin-curated asset libraries, and learner document uploads.</t>
  </si>
  <si>
    <t xml:space="preserve">community &amp; forum features · collecting learner feedback · resource libraries · learner uploads</t>
  </si>
  <si>
    <t xml:space="preserve">EDU-006–008, EDU-011, EDU-032</t>
  </si>
  <si>
    <t xml:space="preserve">B06 (content)</t>
  </si>
  <si>
    <t xml:space="preserve">B08</t>
  </si>
  <si>
    <t xml:space="preserve">Academy Operations — ILT &amp; Scheduling</t>
  </si>
  <si>
    <t xml:space="preserve">Run instructor-led and cohort training on Open edX: program/session management, calendars and scheduling, attendance tracking, and user administration. FBR feature set — currently in development.</t>
  </si>
  <si>
    <t xml:space="preserve">instructor-led training · sessions &amp; timetables · attendance · cohort administration</t>
  </si>
  <si>
    <t xml:space="preserve">EDU-017–020</t>
  </si>
  <si>
    <t xml:space="preserve">B05 (paths), B11 (admin)</t>
  </si>
  <si>
    <t xml:space="preserve">B09</t>
  </si>
  <si>
    <t xml:space="preserve">Branding &amp; White-Label</t>
  </si>
  <si>
    <t xml:space="preserve">Make the platform unmistakably theirs: runtime colour theming beyond light/dark, MFE slot customizations, and self-serve branding controls in the panel.</t>
  </si>
  <si>
    <t xml:space="preserve">white-label · custom branding &amp; themes · UI customization without forking</t>
  </si>
  <si>
    <t xml:space="preserve">EDU-005, EDU-039, EDU-062</t>
  </si>
  <si>
    <t xml:space="preserve">B10 (multisite)</t>
  </si>
  <si>
    <t xml:space="preserve">B10</t>
  </si>
  <si>
    <t xml:space="preserve">Multisite &amp; SaaS Operations</t>
  </si>
  <si>
    <t xml:space="preserve">Operate many portals from one place: unified super-admin panel with analytics, multisite management, DNS and custom-domain automation, and free-trial instance provisioning.</t>
  </si>
  <si>
    <t xml:space="preserve">multi-tenant / multiple academies · sub-portals per client or department · custom domains · trials</t>
  </si>
  <si>
    <t xml:space="preserve">EDU-041, EDU-043, EDU-045, EDU-068, EDU-082</t>
  </si>
  <si>
    <t xml:space="preserve">B09 (branding), B11 (admin)</t>
  </si>
  <si>
    <t xml:space="preserve">B11</t>
  </si>
  <si>
    <t xml:space="preserve">Admin Productivity Suite</t>
  </si>
  <si>
    <t xml:space="preserve">Cut back-office toil: impersonate learners for support, sysadmin dashboard, bulk registration and enrollment, panel-based course and user management, username changes, registration and forum toggles, and guided in-panel user tours.</t>
  </si>
  <si>
    <t xml:space="preserve">admin efficiency · support tooling · bulk operations · delegating admin to non-technical staff</t>
  </si>
  <si>
    <t xml:space="preserve">EDU-014, EDU-022–023, EDU-063, EDU-067, EDU-079–081, EDU-087</t>
  </si>
  <si>
    <t xml:space="preserve">Storylane</t>
  </si>
  <si>
    <t xml:space="preserve">B10 (multisite), B12 (reporting)</t>
  </si>
  <si>
    <t xml:space="preserve">B12</t>
  </si>
  <si>
    <t xml:space="preserve">Analytics, Reporting &amp; Growth</t>
  </si>
  <si>
    <t xml:space="preserve">See what is working and prove it: Google Analytics, Mixpanel and Segment instrumentation, HubSpot CRM logging, in-panel course and learner analytics, and CSV/PDF report downloads.</t>
  </si>
  <si>
    <t xml:space="preserve">analytics &amp; dashboards · exportable reports · marketing/CRM data · measuring learner behaviour</t>
  </si>
  <si>
    <t xml:space="preserve">EDU-046–048, EDU-064, EDU-077–078</t>
  </si>
  <si>
    <t xml:space="preserve">Google Analytics; HubSpot; Mixpanel; Segment</t>
  </si>
  <si>
    <t xml:space="preserve">B10 (panel), B11 (admin)</t>
  </si>
  <si>
    <t xml:space="preserve">B13</t>
  </si>
  <si>
    <t xml:space="preserve">Identity &amp; SSO</t>
  </si>
  <si>
    <t xml:space="preserve">Frictionless, secure sign-in: social signup with Google, Azure, LinkedIn and Facebook, Azure AD B2C SSO, WordPress-to-LMS single sign-on, and an MIT-style social-auth backend as a reference implementation.</t>
  </si>
  <si>
    <t xml:space="preserve">SSO · social login · corporate identity (Azure AD B2C) · one login across site + LMS</t>
  </si>
  <si>
    <t xml:space="preserve">EDU-035, EDU-040, EDU-088, EDU-090</t>
  </si>
  <si>
    <t xml:space="preserve">Chosen social/SSO providers; Microsoft Azure AD B2C; WordPress</t>
  </si>
  <si>
    <t xml:space="preserve">B14 (WordPress)</t>
  </si>
  <si>
    <t xml:space="preserve">B14</t>
  </si>
  <si>
    <t xml:space="preserve">WordPress Marketing Site</t>
  </si>
  <si>
    <t xml:space="preserve">A marketing front-end wired to the LMS: WordPress course catalog via Open edX APIs, blog, CloudFront/S3-backed media library, and a curated pack of essential WordPress plugins.</t>
  </si>
  <si>
    <t xml:space="preserve">marketing website · public course catalog · blog &amp; SEO · landing pages</t>
  </si>
  <si>
    <t xml:space="preserve">EDU-021, EDU-084–086</t>
  </si>
  <si>
    <t xml:space="preserve">AWS (CloudFront/S3) and WordPress; Bundled WordPress plugins (several are paid tiers); WordPress</t>
  </si>
  <si>
    <t xml:space="preserve">B13 (SSO), B01 (commerce)</t>
  </si>
  <si>
    <t xml:space="preserve">B15</t>
  </si>
  <si>
    <t xml:space="preserve">Platform Engineering &amp; Integrations</t>
  </si>
  <si>
    <t xml:space="preserve">Keep the platform healthy and connected: Sentry monitoring, git and S3 course export and sync, a safe email deadbox for testing, an Open edX API client, plus Canvas and panel-level LTI interoperability.</t>
  </si>
  <si>
    <t xml:space="preserve">DevOps &amp; monitoring · course backups &amp; version control · LMS interoperability (Canvas, LTI) · API access</t>
  </si>
  <si>
    <t xml:space="preserve">EDU-016, EDU-026, EDU-029–030, EDU-033–034, EDU-037, EDU-066</t>
  </si>
  <si>
    <t xml:space="preserve">AWS; Canvas; GitHub; Sentry</t>
  </si>
  <si>
    <t xml:space="preserve">B11 (admin)</t>
  </si>
  <si>
    <t xml:space="preserve">ALL BUNDLES — TOTAL</t>
  </si>
  <si>
    <t xml:space="preserve">HOW TO READ THIS CATALOG</t>
  </si>
  <si>
    <t xml:space="preserve">• Source &amp; scope: built from the master sales sheet — 87 delivered Open edX customizations (EDU-004–EDU-090). The three "Example" rows (EDU-001–003) were excluded. Bundles are a sales lens; every feature can also be sold à la carte (see All Components).</t>
  </si>
  <si>
    <t xml:space="preserve">• Hours are the delivery team’s recorded engineering estimates. "First-delivery hrs" = "Est. first reuse (as recorded)" and includes plugin-conversion work where the source recorded it. "Repeat-delivery hrs" = per-client configuration once productized. Blank cells on bundle sheets = not recorded in source (counted under "No-estimate items"), so bundle totals understate by those items.</t>
  </si>
  <si>
    <t xml:space="preserve">• "Effort saved vs building new" = 1 − first-delivery ÷ already-engineered hours, over recorded items only — the reuse story to tell clients.</t>
  </si>
  <si>
    <t xml:space="preserve">• Figures are engineering hours only: add PM, QA and support overhead per your delivery standards before quoting. Items marked In Development (B08 FBR set, EDU-032) should be sold with a delivery-date caveat.</t>
  </si>
  <si>
    <t xml:space="preserve">• Third-party accounts are client-held; vendor fees are payable by the client and not quantified in the source.</t>
  </si>
  <si>
    <t xml:space="preserve">• YELLOW cells are for you to fill in: set each bundle’s list price — e.g. first-delivery hrs × blended rate, or a fixed fee such as "USD 15k + gateway fees".</t>
  </si>
  <si>
    <t xml:space="preserve">B01 · Commerce &amp; Monetization</t>
  </si>
  <si>
    <t xml:space="preserve">Pitch: Everything a client needs to charge for learning: checkout through five payment gateways (including regional ones), storefront payments via WooCommerce, and time-based subscription access to courses.</t>
  </si>
  <si>
    <t xml:space="preserve">Offer when the client asks about: pricing / paid courses · payment gateways &amp; checkout · subscriptions · selling in specific regions (e.g. Egypt via Cowpay)</t>
  </si>
  <si>
    <t xml:space="preserve">Pairs well with: B14 (storefront), B10 (free trials)</t>
  </si>
  <si>
    <t xml:space="preserve">Solution ID</t>
  </si>
  <si>
    <t xml:space="preserve">Feature</t>
  </si>
  <si>
    <t xml:space="preserve">What it does</t>
  </si>
  <si>
    <t xml:space="preserve">Delivery form</t>
  </si>
  <si>
    <t xml:space="preserve">Status</t>
  </si>
  <si>
    <t xml:space="preserve">Std deployment time</t>
  </si>
  <si>
    <t xml:space="preserve">First-delivery hrs</t>
  </si>
  <si>
    <t xml:space="preserve">Repeat config hrs</t>
  </si>
  <si>
    <t xml:space="preserve">Original build hrs</t>
  </si>
  <si>
    <t xml:space="preserve">Reuse saving % (source)</t>
  </si>
  <si>
    <t xml:space="preserve">3rd-party account required</t>
  </si>
  <si>
    <t xml:space="preserve">Integrations / dependencies</t>
  </si>
  <si>
    <t xml:space="preserve">Notes &amp; limits</t>
  </si>
  <si>
    <t xml:space="preserve">Reference</t>
  </si>
  <si>
    <t xml:space="preserve">EDU-071</t>
  </si>
  <si>
    <t xml:space="preserve">Stripe Payment Processor</t>
  </si>
  <si>
    <t xml:space="preserve">Payments can be processed via Stripe.</t>
  </si>
  <si>
    <t xml:space="preserve">Integration · Out-of-the-box</t>
  </si>
  <si>
    <t xml:space="preserve">Production</t>
  </si>
  <si>
    <t xml:space="preserve">1 h</t>
  </si>
  <si>
    <t xml:space="preserve">Stripe</t>
  </si>
  <si>
    <t xml:space="preserve">Stripe.</t>
  </si>
  <si>
    <t xml:space="preserve">EDU-073</t>
  </si>
  <si>
    <t xml:space="preserve">Paypal Payment Processor</t>
  </si>
  <si>
    <t xml:space="preserve">Payments can be processed via PayPal.</t>
  </si>
  <si>
    <t xml:space="preserve">PayPal</t>
  </si>
  <si>
    <t xml:space="preserve">PayPal.</t>
  </si>
  <si>
    <t xml:space="preserve">EDU-069</t>
  </si>
  <si>
    <t xml:space="preserve">Authorizenet Payment Processor</t>
  </si>
  <si>
    <t xml:space="preserve">Payments can be processed via Authorizenet.</t>
  </si>
  <si>
    <t xml:space="preserve">Authorize.Net</t>
  </si>
  <si>
    <t xml:space="preserve">Authorize.Net.</t>
  </si>
  <si>
    <t xml:space="preserve">EDU-070</t>
  </si>
  <si>
    <t xml:space="preserve">Cybersource Payment Processor</t>
  </si>
  <si>
    <t xml:space="preserve">Payments can be processed via Cybersource.</t>
  </si>
  <si>
    <t xml:space="preserve">2 h</t>
  </si>
  <si>
    <t xml:space="preserve">Cybersource</t>
  </si>
  <si>
    <t xml:space="preserve">Cybersource.</t>
  </si>
  <si>
    <t xml:space="preserve">EDU-072</t>
  </si>
  <si>
    <t xml:space="preserve">Cowpay Payment Processor</t>
  </si>
  <si>
    <t xml:space="preserve">Payments can be processed via an Egyptian Payment Processor called Cowpay (for the client IQLEAD).</t>
  </si>
  <si>
    <t xml:space="preserve">Integration · Custom Plugin</t>
  </si>
  <si>
    <t xml:space="preserve">4 h</t>
  </si>
  <si>
    <t xml:space="preserve">Cowpay</t>
  </si>
  <si>
    <t xml:space="preserve">Cowpay.</t>
  </si>
  <si>
    <t xml:space="preserve">EDU-042</t>
  </si>
  <si>
    <t xml:space="preserve">Stripe Integration within the platform</t>
  </si>
  <si>
    <t xml:space="preserve">Users can pay for the services themselves using the Stripe payment gateway.</t>
  </si>
  <si>
    <t xml:space="preserve">Stripe (and WooCommerce)</t>
  </si>
  <si>
    <t xml:space="preserve">Stripe; WordPress WooCommerce.</t>
  </si>
  <si>
    <t xml:space="preserve">Runs via WordPress WooCommerce storefront.</t>
  </si>
  <si>
    <t xml:space="preserve">EDU-074</t>
  </si>
  <si>
    <t xml:space="preserve">Subscription Feature in E-Commerce</t>
  </si>
  <si>
    <t xml:space="preserve">Learners can purchase time-based access to courses using the subscription feature.</t>
  </si>
  <si>
    <t xml:space="preserve">Mixed Feature</t>
  </si>
  <si>
    <t xml:space="preserve">Open edX E-Commerce.</t>
  </si>
  <si>
    <t xml:space="preserve">Core/MFE changes — patched platform build; upgrade maintenance.</t>
  </si>
  <si>
    <t xml:space="preserve">Bundle total</t>
  </si>
  <si>
    <t xml:space="preserve">B02 · Localization &amp; Global Delivery</t>
  </si>
  <si>
    <t xml:space="preserve">Pitch: Take one catalog global: translated course re-runs, AI translation of course content and platform strings, automatic language selection per course, and WPML-backed multilingual site content.</t>
  </si>
  <si>
    <t xml:space="preserve">Offer when the client asks about: multi-language platform · Arabic/French/Spanish content · AI translation · serving learners across countries</t>
  </si>
  <si>
    <t xml:space="preserve">Pairs well with: B03 (AI), B14 (site)</t>
  </si>
  <si>
    <t xml:space="preserve">EDU-004</t>
  </si>
  <si>
    <t xml:space="preserve">Meta Translations</t>
  </si>
  <si>
    <t xml:space="preserve">Allow to create translated course re-runs</t>
  </si>
  <si>
    <t xml:space="preserve">14 business days</t>
  </si>
  <si>
    <t xml:space="preserve">Core/MFE changes — patched platform build; upgrade maintenance. | Require Changes in Core (Edx-Platform, Authoring MFE and New Plugin App)</t>
  </si>
  <si>
    <t xml:space="preserve">https://github.com/wikimedia/edx-platform/issues/555</t>
  </si>
  <si>
    <t xml:space="preserve">EDU-031</t>
  </si>
  <si>
    <t xml:space="preserve">AI generated Course Translations</t>
  </si>
  <si>
    <t xml:space="preserve">An Open edX plugin to translate course content into multiple languages to enhance accessibility for a global audience.</t>
  </si>
  <si>
    <t xml:space="preserve">Django App · Custom Plugin</t>
  </si>
  <si>
    <t xml:space="preserve">AI/LLM translation provider</t>
  </si>
  <si>
    <t xml:space="preserve">AI/LLM translation service (provider not named in source).</t>
  </si>
  <si>
    <t xml:space="preserve">https://github.com/mitodl/open-edx-plugins/tree/main/src/ol_openedx_course_translations</t>
  </si>
  <si>
    <t xml:space="preserve">EDU-024</t>
  </si>
  <si>
    <t xml:space="preserve">Open edX AI Static Translations</t>
  </si>
  <si>
    <t xml:space="preserve">An Open edX plugin that provides AI-powered static translation management. It syncs translation keys, translates them using LLM providers, and creates pull requests with translated content.</t>
  </si>
  <si>
    <t xml:space="preserve">LLM/translation provider</t>
  </si>
  <si>
    <t xml:space="preserve">LLM translation providers; GitHub (raises pull requests).</t>
  </si>
  <si>
    <t xml:space="preserve">https://github.com/mitodl/open-edx-plugins/tree/main/src/ol_openedx_ai_static_translations</t>
  </si>
  <si>
    <t xml:space="preserve">EDU-025</t>
  </si>
  <si>
    <t xml:space="preserve">Open edX Auto Select Language</t>
  </si>
  <si>
    <t xml:space="preserve">An Open edX plugin to auto select the Open edX platform language based on the course language.</t>
  </si>
  <si>
    <t xml:space="preserve">MFE language-cookie configuration.</t>
  </si>
  <si>
    <t xml:space="preserve">MFE config to set the language cookies.</t>
  </si>
  <si>
    <t xml:space="preserve">https://github.com/mitodl/open-edx-plugins/tree/main/src/ol_openedx_auto_select_language</t>
  </si>
  <si>
    <t xml:space="preserve">EDU-083</t>
  </si>
  <si>
    <t xml:space="preserve">Multi lingual support across platform</t>
  </si>
  <si>
    <t xml:space="preserve">Provides content in multiple languages via WPML and Open edX multilingual support.</t>
  </si>
  <si>
    <t xml:space="preserve">Mixed Feature · Out-of-the-box</t>
  </si>
  <si>
    <t xml:space="preserve">3 h</t>
  </si>
  <si>
    <t xml:space="preserve">WPML</t>
  </si>
  <si>
    <t xml:space="preserve">WPML (WordPress); Open edX multilingual support.</t>
  </si>
  <si>
    <t xml:space="preserve">B03 · AI Learning Experience</t>
  </si>
  <si>
    <t xml:space="preserve">Pitch: Embed an AI tutor inside courses: per-unit AI chat attached to xBlocks plus a standalone chat xBlock, powered by an external AI chat service.</t>
  </si>
  <si>
    <t xml:space="preserve">Offer when the client asks about: AI tutor / chatbot inside courses · AI-assisted learner support</t>
  </si>
  <si>
    <t xml:space="preserve">Pairs well with: B02 (AI translations)</t>
  </si>
  <si>
    <t xml:space="preserve">EDU-027</t>
  </si>
  <si>
    <t xml:space="preserve">Per block AI Tutor/Chat</t>
  </si>
  <si>
    <t xml:space="preserve">An xBlock aside to add MIT Open Learning AI chat into xBlocks.</t>
  </si>
  <si>
    <t xml:space="preserve">42 business days</t>
  </si>
  <si>
    <t xml:space="preserve">MIT Open Learning AI chat service</t>
  </si>
  <si>
    <t xml:space="preserve">MIT Open Learning AI chat service (external chat server + frontend drawer bundle).</t>
  </si>
  <si>
    <t xml:space="preserve">Requires external AI chat server + frontend drawer bundle; effort scales with course content.</t>
  </si>
  <si>
    <t xml:space="preserve">https://github.com/mitodl/open-edx-plugins/tree/main/src/ol_openedx_chat</t>
  </si>
  <si>
    <t xml:space="preserve">EDU-028</t>
  </si>
  <si>
    <t xml:space="preserve">Open edX Chat xBlock</t>
  </si>
  <si>
    <t xml:space="preserve">An xBlock to add MIT Open Learning chat in courses.</t>
  </si>
  <si>
    <t xml:space="preserve">XBlock · Custom Plugin</t>
  </si>
  <si>
    <t xml:space="preserve">17 business days</t>
  </si>
  <si>
    <t xml:space="preserve">MIT Open Learning chat service</t>
  </si>
  <si>
    <t xml:space="preserve">MIT Open Learning chat service.</t>
  </si>
  <si>
    <t xml:space="preserve">Requires external chat server + frontend drawer bundle (same stack as EDU-027).</t>
  </si>
  <si>
    <t xml:space="preserve">https://github.com/mitodl/open-edx-plugins/tree/main/src/ol_openedx_chat_xblock</t>
  </si>
  <si>
    <t xml:space="preserve">B04 · Assessment &amp; Credentialing</t>
  </si>
  <si>
    <t xml:space="preserve">Pitch: Assess and certify beyond stock Open edX: staff-graded assignments, peer evaluations, live in-class responses, video-based rater certification, plus badges, Badgr and program certificates learners can show off.</t>
  </si>
  <si>
    <t xml:space="preserve">Offer when the client asks about: manual/staff grading · peer review · live quizzes · certification workflows · badges &amp; certificates</t>
  </si>
  <si>
    <t xml:space="preserve">Pairs well with: B05 (paths)</t>
  </si>
  <si>
    <t xml:space="preserve">EDU-038</t>
  </si>
  <si>
    <t xml:space="preserve">Staff Graded Assignment XBlock</t>
  </si>
  <si>
    <t xml:space="preserve">An xBlock that provides staff graded assignments</t>
  </si>
  <si>
    <t xml:space="preserve">https://github.com/mitodl/edx-sga</t>
  </si>
  <si>
    <t xml:space="preserve">EDU-089</t>
  </si>
  <si>
    <t xml:space="preserve">Rater Certification XBlock</t>
  </si>
  <si>
    <t xml:space="preserve">Asynchronous video-based rater certification — users score observation videos against expert scores and are certified on like-score agreement</t>
  </si>
  <si>
    <t xml:space="preserve">XBlock · Existing Plugin (XBlock)</t>
  </si>
  <si>
    <t xml:space="preserve">0.25 h</t>
  </si>
  <si>
    <t xml:space="preserve">Client-hosted video source (per Dependencies).</t>
  </si>
  <si>
    <t xml:space="preserve">Per-reuse: create pools, attach videos, define dimensions, enter expert scores, set feedback copy per dimension × outcome, confirm thresholds. 15 min assumes client supplies expert scores/feedback in importable form.</t>
  </si>
  <si>
    <t xml:space="preserve">https://github.com/teachsim-lab/video-rater-xblock</t>
  </si>
  <si>
    <t xml:space="preserve">EDU-010</t>
  </si>
  <si>
    <t xml:space="preserve">Evaluation Forms</t>
  </si>
  <si>
    <t xml:space="preserve">Allows learners to give evaluations to peers</t>
  </si>
  <si>
    <t xml:space="preserve">10 business days</t>
  </si>
  <si>
    <t xml:space="preserve">Toastmasters Azure DevOps (Private)</t>
  </si>
  <si>
    <t xml:space="preserve">EDU-036</t>
  </si>
  <si>
    <t xml:space="preserve">Rapid Response xBlock Aside</t>
  </si>
  <si>
    <t xml:space="preserve">A django app that provides an xBlock aside for live responses on multiple choice problems</t>
  </si>
  <si>
    <t xml:space="preserve">https://github.com/mitodl/open-edx-plugins/tree/main/src/rapid_response_xblock</t>
  </si>
  <si>
    <t xml:space="preserve">EDU-013</t>
  </si>
  <si>
    <t xml:space="preserve">Badges</t>
  </si>
  <si>
    <t xml:space="preserve">Assign badges to learners when they complete a specific section or course</t>
  </si>
  <si>
    <t xml:space="preserve">15 business days</t>
  </si>
  <si>
    <t xml:space="preserve">EDU-065</t>
  </si>
  <si>
    <t xml:space="preserve">Badgr Integration in Panel</t>
  </si>
  <si>
    <t xml:space="preserve">Learners can earn badges in Badgr and use these to show off their skills.</t>
  </si>
  <si>
    <t xml:space="preserve">Integration · Mixed Feature</t>
  </si>
  <si>
    <t xml:space="preserve">Badgr.</t>
  </si>
  <si>
    <t xml:space="preserve">EDU-076</t>
  </si>
  <si>
    <t xml:space="preserve">Programs Certificates in Discovery</t>
  </si>
  <si>
    <t xml:space="preserve">Admins and course authors can set up certificates for completion of programs in Discovery.</t>
  </si>
  <si>
    <t xml:space="preserve">Django App · Mixed Feature</t>
  </si>
  <si>
    <t xml:space="preserve">Open edX Discovery.</t>
  </si>
  <si>
    <t xml:space="preserve">B05 · Learning Paths &amp; Curriculum</t>
  </si>
  <si>
    <t xml:space="preserve">Pitch: Structure the learning journey: electives learners choose, instructor-approved gated progression between sections, post-course recommendations, and course-to-program aggregation in Discovery.</t>
  </si>
  <si>
    <t xml:space="preserve">Offer when the client asks about: learning paths · electives · prerequisites / gated progression · programs · course recommendations</t>
  </si>
  <si>
    <t xml:space="preserve">Pairs well with: B04 (credentials), B08 (ILT)</t>
  </si>
  <si>
    <t xml:space="preserve">EDU-009</t>
  </si>
  <si>
    <t xml:space="preserve">Electives</t>
  </si>
  <si>
    <t xml:space="preserve">Allows instructor add a subsections as electives. Learner can select electives of their choice.</t>
  </si>
  <si>
    <t xml:space="preserve">25 business days</t>
  </si>
  <si>
    <t xml:space="preserve">EDU-015</t>
  </si>
  <si>
    <t xml:space="preserve">Section Completion (Approval and Reversal)</t>
  </si>
  <si>
    <t xml:space="preserve">Custom completion method i.e. complete section and create a approval request. Instructor can approve / deny it. Learner cannot view next section, until previous section is marked as completed</t>
  </si>
  <si>
    <t xml:space="preserve">20 business days</t>
  </si>
  <si>
    <t xml:space="preserve">EDU-012</t>
  </si>
  <si>
    <t xml:space="preserve">Suggested Learning</t>
  </si>
  <si>
    <t xml:space="preserve">When learner completes a course, suggested courses are shown to learners. Suggested courses are picked based on instructors recommendation</t>
  </si>
  <si>
    <t xml:space="preserve">EDU-075</t>
  </si>
  <si>
    <t xml:space="preserve">Programs Integration in Discovery</t>
  </si>
  <si>
    <t xml:space="preserve">Admins and course authors can aggregate courses into programs easily in Discovery.</t>
  </si>
  <si>
    <t xml:space="preserve">B06 · Interactive Content Pack (XBlocks)</t>
  </si>
  <si>
    <t xml:space="preserve">Pitch: Fourteen ready-to-install XBlocks that make courses richer: polls, surveys, annotations, audio, PDF and Google Drive embeds, image explorer, step builder, word cloud, KWL, vector draw, reusable libraries, Google Calendar and Instruqt hands-on labs.</t>
  </si>
  <si>
    <t xml:space="preserve">Offer when the client asks about: more engaging course content · interactive activities · hands-on labs · embedding media &amp; files</t>
  </si>
  <si>
    <t xml:space="preserve">Pairs well with: B07 (engagement)</t>
  </si>
  <si>
    <t xml:space="preserve">EDU-057</t>
  </si>
  <si>
    <t xml:space="preserve">Poll XBlock</t>
  </si>
  <si>
    <t xml:space="preserve">Gathers feedback to improve course content and delivery by understanding learner needs and preferences.</t>
  </si>
  <si>
    <t xml:space="preserve">XBlock · Out-of-the-box</t>
  </si>
  <si>
    <t xml:space="preserve">EDU-052</t>
  </si>
  <si>
    <t xml:space="preserve">Survey XBlock</t>
  </si>
  <si>
    <t xml:space="preserve">EDU-050</t>
  </si>
  <si>
    <t xml:space="preserve">Annotation XBlock</t>
  </si>
  <si>
    <t xml:space="preserve">Promotes active learning and critical thinking by encouraging learners to engage with specific parts of the text through targeted questions.</t>
  </si>
  <si>
    <t xml:space="preserve">EDU-049</t>
  </si>
  <si>
    <t xml:space="preserve">Word Cloud XBlock</t>
  </si>
  <si>
    <t xml:space="preserve">Encourages engagement and interaction by providing a visual summary of content that can help in better comprehension and retention.</t>
  </si>
  <si>
    <t xml:space="preserve">EDU-056</t>
  </si>
  <si>
    <t xml:space="preserve">Image Explorer XBlock</t>
  </si>
  <si>
    <t xml:space="preserve">Allows targeted definitions with visuals to provide an easier way of understanding for the learners.</t>
  </si>
  <si>
    <t xml:space="preserve">EDU-058</t>
  </si>
  <si>
    <t xml:space="preserve">Step Builder XBlock</t>
  </si>
  <si>
    <t xml:space="preserve">Avoids overwhelming the learner by breaking down a problem in smaller chunks.</t>
  </si>
  <si>
    <t xml:space="preserve">EDU-060</t>
  </si>
  <si>
    <t xml:space="preserve">Knowledge-Wonder-Learn XBlock</t>
  </si>
  <si>
    <t xml:space="preserve">Gauges course effectiveness by comparing learners' initial knowledge and questions with what they have learned, providing a clear measure of knowledge acquisition throughout the course.</t>
  </si>
  <si>
    <t xml:space="preserve">EDU-053</t>
  </si>
  <si>
    <t xml:space="preserve">Vector Draw XBlock</t>
  </si>
  <si>
    <t xml:space="preserve">Enriches the learning experience by providing an interactive way of assessing the learners.</t>
  </si>
  <si>
    <t xml:space="preserve">EDU-054</t>
  </si>
  <si>
    <t xml:space="preserve">Audio XBlock</t>
  </si>
  <si>
    <t xml:space="preserve">Enhances the learning experience by allowing learners to listen to course content within the LMS.</t>
  </si>
  <si>
    <t xml:space="preserve">EDU-061</t>
  </si>
  <si>
    <t xml:space="preserve">PDF XBlock</t>
  </si>
  <si>
    <t xml:space="preserve">Facilitates seamless access to embedded PDF files without having to leave the webpage.</t>
  </si>
  <si>
    <t xml:space="preserve">EDU-055</t>
  </si>
  <si>
    <t xml:space="preserve">Google Drive XBlock</t>
  </si>
  <si>
    <t xml:space="preserve">Enriches the learning experience by providing an easy way to integrate Google Drive content.</t>
  </si>
  <si>
    <t xml:space="preserve">Google Drive.</t>
  </si>
  <si>
    <t xml:space="preserve">EDU-059</t>
  </si>
  <si>
    <t xml:space="preserve">Custom Library XBlock</t>
  </si>
  <si>
    <t xml:space="preserve">Allows the use of a unified resource without having to create it repeatedly</t>
  </si>
  <si>
    <t xml:space="preserve">EDU-051</t>
  </si>
  <si>
    <t xml:space="preserve">Google Calendar XBlock</t>
  </si>
  <si>
    <t xml:space="preserve">Allows easier visibility of course related schedules for learners to keep a track of.</t>
  </si>
  <si>
    <t xml:space="preserve">Google Calendar.</t>
  </si>
  <si>
    <t xml:space="preserve">EDU-044</t>
  </si>
  <si>
    <t xml:space="preserve">Instruqt XBlock Integration</t>
  </si>
  <si>
    <t xml:space="preserve">Enables an interactive and enriched learning experiences by integrating the capabilities of Instruqt all within the LMS.</t>
  </si>
  <si>
    <t xml:space="preserve">6 h</t>
  </si>
  <si>
    <t xml:space="preserve">Instruqt.</t>
  </si>
  <si>
    <t xml:space="preserve">B07 · Learner Engagement &amp; Feedback</t>
  </si>
  <si>
    <t xml:space="preserve">Pitch: Keep learners active and heard: @-mention notifications in forums, learner-instructor feedback both ways, per-block feedback triggers, admin-curated asset libraries, and learner document uploads.</t>
  </si>
  <si>
    <t xml:space="preserve">Offer when the client asks about: community &amp; forum features · collecting learner feedback · resource libraries · learner uploads</t>
  </si>
  <si>
    <t xml:space="preserve">Pairs well with: B06 (content)</t>
  </si>
  <si>
    <t xml:space="preserve">EDU-006</t>
  </si>
  <si>
    <t xml:space="preserve">Ping user in discussion forum</t>
  </si>
  <si>
    <t xml:space="preserve">Enables users to select and mention users in a discussion post, which sends a notification by email or by the site notification feature introduced in Ulmo.</t>
  </si>
  <si>
    <t xml:space="preserve">Tutor Plugin · Out-of-the-box</t>
  </si>
  <si>
    <t xml:space="preserve">Not recorded</t>
  </si>
  <si>
    <t xml:space="preserve">Email notifications; Open edX site notifications (Ulmo).</t>
  </si>
  <si>
    <t xml:space="preserve">https://github.com/wikimedia/edx-platform/issues/522</t>
  </si>
  <si>
    <t xml:space="preserve">EDU-011</t>
  </si>
  <si>
    <t xml:space="preserve">Feedback</t>
  </si>
  <si>
    <t xml:space="preserve">Allows learners to give feedbacks to instructors and vice versa</t>
  </si>
  <si>
    <t xml:space="preserve">7 business days</t>
  </si>
  <si>
    <t xml:space="preserve">EDU-032</t>
  </si>
  <si>
    <t xml:space="preserve">Block level learner feedback</t>
  </si>
  <si>
    <t xml:space="preserve">An Open edX plugin that adds a per-block "Send feedback" trigger to applicable leaf blocks in the LMS via an XBlockAside.</t>
  </si>
  <si>
    <t xml:space="preserve">In Development</t>
  </si>
  <si>
    <t xml:space="preserve">Depends on extra MFE customizations.</t>
  </si>
  <si>
    <t xml:space="preserve">https://github.com/mitodl/open-edx-plugins/tree/main/src/ol_openedx_feedback</t>
  </si>
  <si>
    <t xml:space="preserve">EDU-007</t>
  </si>
  <si>
    <t xml:space="preserve">Assets Management</t>
  </si>
  <si>
    <t xml:space="preserve">Allows admin to create assets that are visible to learners. Each asset can have multiple categories and sub-categories</t>
  </si>
  <si>
    <t xml:space="preserve">9 business days</t>
  </si>
  <si>
    <t xml:space="preserve">EDU-008</t>
  </si>
  <si>
    <t xml:space="preserve">Documents</t>
  </si>
  <si>
    <t xml:space="preserve">User can upload their learning documents and can view them on platform</t>
  </si>
  <si>
    <t xml:space="preserve">B08 · Academy Operations — ILT &amp; Scheduling</t>
  </si>
  <si>
    <t xml:space="preserve">Pitch: Run instructor-led and cohort training on Open edX: program/session management, calendars and scheduling, attendance tracking, and user administration. FBR feature set — currently in development.</t>
  </si>
  <si>
    <t xml:space="preserve">Offer when the client asks about: instructor-led training · sessions &amp; timetables · attendance · cohort administration</t>
  </si>
  <si>
    <t xml:space="preserve">Pairs well with: B05 (paths), B11 (admin)</t>
  </si>
  <si>
    <t xml:space="preserve">EDU-020</t>
  </si>
  <si>
    <t xml:space="preserve">Program</t>
  </si>
  <si>
    <t xml:space="preserve">Create and manage programs, courses, sessions, schedules, and learner enrollments.</t>
  </si>
  <si>
    <t xml:space="preserve">https://github.com/edly-io/tutor-contrib-fbr/tree/master/tutorfbr/templates/fbr/openedx-features-fbr</t>
  </si>
  <si>
    <t xml:space="preserve">EDU-018</t>
  </si>
  <si>
    <t xml:space="preserve">Calendar Management</t>
  </si>
  <si>
    <t xml:space="preserve">Manage and schedule sessions, events, holidays, and important activities within the LMS.</t>
  </si>
  <si>
    <t xml:space="preserve">EDU-019</t>
  </si>
  <si>
    <t xml:space="preserve">Attendance</t>
  </si>
  <si>
    <t xml:space="preserve">Track and manage learner attendance for scheduled sessions, including attendance status and records.</t>
  </si>
  <si>
    <t xml:space="preserve">EDU-017</t>
  </si>
  <si>
    <t xml:space="preserve">User Management</t>
  </si>
  <si>
    <t xml:space="preserve">Manage users, their profiles, roles, permissions, status, and access within the Open edX LMS.</t>
  </si>
  <si>
    <t xml:space="preserve">B09 · Branding &amp; White-Label</t>
  </si>
  <si>
    <t xml:space="preserve">Pitch: Make the platform unmistakably theirs: runtime colour theming beyond light/dark, MFE slot customizations, and self-serve branding controls in the panel.</t>
  </si>
  <si>
    <t xml:space="preserve">Offer when the client asks about: white-label · custom branding &amp; themes · UI customization without forking</t>
  </si>
  <si>
    <t xml:space="preserve">Pairs well with: B10 (multisite)</t>
  </si>
  <si>
    <t xml:space="preserve">EDU-005</t>
  </si>
  <si>
    <t xml:space="preserve">Dynamic Theming</t>
  </si>
  <si>
    <t xml:space="preserve">Support to change color at runtime (not just light and dark mode)</t>
  </si>
  <si>
    <t xml:space="preserve">2 business days</t>
  </si>
  <si>
    <t xml:space="preserve">Accounts MFE plugin slot; Paragon design tokens consumed by all MFEs.</t>
  </si>
  <si>
    <t xml:space="preserve">Custom tutor plugin, django app, and a custom React package | The migration to a tutor plugin would essentially be a rewrite from scratch, but once implemented would be a lot easier to port for different clients</t>
  </si>
  <si>
    <t xml:space="preserve">EDU-039</t>
  </si>
  <si>
    <t xml:space="preserve">MFE Customizations</t>
  </si>
  <si>
    <t xml:space="preserve">Customized MFEs using MFE Slot implementations</t>
  </si>
  <si>
    <t xml:space="preserve">MFE (Frontend) · Standalone Module</t>
  </si>
  <si>
    <t xml:space="preserve">4 business days</t>
  </si>
  <si>
    <t xml:space="preserve">MFE slot configuration.</t>
  </si>
  <si>
    <t xml:space="preserve">https://github.com/mitodl/lehrer/tree/main/deployments/mit-ol/mfe_slot_config/legacy</t>
  </si>
  <si>
    <t xml:space="preserve">EDU-062</t>
  </si>
  <si>
    <t xml:space="preserve">Site Customizations in Panel</t>
  </si>
  <si>
    <t xml:space="preserve">Site admins can easily handle the branding for the LMS using Theme accessibility in panel settings.</t>
  </si>
  <si>
    <t xml:space="preserve">Requires Edly multi-tenant architecture.</t>
  </si>
  <si>
    <t xml:space="preserve">B10 · Multisite &amp; SaaS Operations</t>
  </si>
  <si>
    <t xml:space="preserve">Pitch: Operate many portals from one place: unified super-admin panel with analytics, multisite management, DNS and custom-domain automation, and free-trial instance provisioning.</t>
  </si>
  <si>
    <t xml:space="preserve">Offer when the client asks about: multi-tenant / multiple academies · sub-portals per client or department · custom domains · trials</t>
  </si>
  <si>
    <t xml:space="preserve">Pairs well with: B09 (branding), B11 (admin)</t>
  </si>
  <si>
    <t xml:space="preserve">EDU-041</t>
  </si>
  <si>
    <t xml:space="preserve">Admin Panel</t>
  </si>
  <si>
    <t xml:space="preserve">Super Admins can manage multisite and view analytics using one unified dashboard.</t>
  </si>
  <si>
    <t xml:space="preserve">3 business days</t>
  </si>
  <si>
    <t xml:space="preserve">EDU-045</t>
  </si>
  <si>
    <t xml:space="preserve">Multisite Features</t>
  </si>
  <si>
    <t xml:space="preserve">Simplifies the management of multiple learning environments, offering tailored customization and content while centralizing user management and access control.</t>
  </si>
  <si>
    <t xml:space="preserve">Mixed Feature · Custom Plugin</t>
  </si>
  <si>
    <t xml:space="preserve">EDU-043</t>
  </si>
  <si>
    <t xml:space="preserve">DNS Automation</t>
  </si>
  <si>
    <t xml:space="preserve">Users can add custom domains for all pages of their platforms using the Admin dashboard.</t>
  </si>
  <si>
    <t xml:space="preserve">DNS provider (custom domain automation).</t>
  </si>
  <si>
    <t xml:space="preserve">EDU-068</t>
  </si>
  <si>
    <t xml:space="preserve">Custom Domain Updates in Panel</t>
  </si>
  <si>
    <t xml:space="preserve">Admins can easily Generate DNS entries required to set up custom domains via the panel.</t>
  </si>
  <si>
    <t xml:space="preserve">EDU-082</t>
  </si>
  <si>
    <t xml:space="preserve">Free Trial Instance in Panel</t>
  </si>
  <si>
    <t xml:space="preserve">Accesses the free trial instance directly from the panel.</t>
  </si>
  <si>
    <t xml:space="preserve">B11 · Admin Productivity Suite</t>
  </si>
  <si>
    <t xml:space="preserve">Pitch: Cut back-office toil: impersonate learners for support, sysadmin dashboard, bulk registration and enrollment, panel-based course and user management, username changes, registration and forum toggles, and guided in-panel user tours.</t>
  </si>
  <si>
    <t xml:space="preserve">Offer when the client asks about: admin efficiency · support tooling · bulk operations · delegating admin to non-technical staff</t>
  </si>
  <si>
    <t xml:space="preserve">Pairs well with: B10 (multisite), B12 (reporting)</t>
  </si>
  <si>
    <t xml:space="preserve">EDU-014</t>
  </si>
  <si>
    <t xml:space="preserve">User Impersonation</t>
  </si>
  <si>
    <t xml:space="preserve">Allows admin to access platform as learner</t>
  </si>
  <si>
    <t xml:space="preserve">EDU-022</t>
  </si>
  <si>
    <t xml:space="preserve">Sysadmin</t>
  </si>
  <si>
    <t xml:space="preserve">An open edx plugin that provides sysadmin dashboard with features like Register Users, Delete Courses, Git Import course, and Git Auto Reload course.</t>
  </si>
  <si>
    <t xml:space="preserve">Git repository (course import and auto-reload).</t>
  </si>
  <si>
    <t xml:space="preserve">https://github.com/mitodl/open-edx-plugins/tree/main/src/edx_sysadmin</t>
  </si>
  <si>
    <t xml:space="preserve">EDU-063</t>
  </si>
  <si>
    <t xml:space="preserve">Bulk Registration and Enrollment in Panel</t>
  </si>
  <si>
    <t xml:space="preserve">Site admins can register and enroll learners in bulk using the panel.</t>
  </si>
  <si>
    <t xml:space="preserve">EDU-079</t>
  </si>
  <si>
    <t xml:space="preserve">Course Management in Panel</t>
  </si>
  <si>
    <t xml:space="preserve">Admins and course authors can manage courses directly from the panel,</t>
  </si>
  <si>
    <t xml:space="preserve">EDU-080</t>
  </si>
  <si>
    <t xml:space="preserve">User Management in Panel</t>
  </si>
  <si>
    <t xml:space="preserve">Admins and course authors can manage users directly from the panel,</t>
  </si>
  <si>
    <t xml:space="preserve">EDU-023</t>
  </si>
  <si>
    <t xml:space="preserve">Username changer</t>
  </si>
  <si>
    <t xml:space="preserve">A plugin to enable update usernames through admin panel in Open edX (and other apps that log into Open edX via OAuth).</t>
  </si>
  <si>
    <t xml:space="preserve">https://github.com/mitodl/open-edx-plugins/tree/main/src/edx_username_changer</t>
  </si>
  <si>
    <t xml:space="preserve">EDU-081</t>
  </si>
  <si>
    <t xml:space="preserve">Toggle Public Registration in Panel</t>
  </si>
  <si>
    <t xml:space="preserve">Enables or disables public registration for the LMS directly from the panel.</t>
  </si>
  <si>
    <t xml:space="preserve">EDU-067</t>
  </si>
  <si>
    <t xml:space="preserve">Discussion Forum Toggle in panel</t>
  </si>
  <si>
    <t xml:space="preserve">Admins can easily enable/disable discussion forums directly from the panel.</t>
  </si>
  <si>
    <t xml:space="preserve">EDU-087</t>
  </si>
  <si>
    <t xml:space="preserve">User Guides for Learners and Instructors in Panel</t>
  </si>
  <si>
    <t xml:space="preserve">The Edly Panel has a Storylane Self Service User Guide shown to users.</t>
  </si>
  <si>
    <t xml:space="preserve">Other · Standalone Module</t>
  </si>
  <si>
    <t xml:space="preserve">Storylane.</t>
  </si>
  <si>
    <t xml:space="preserve">B12 · Analytics, Reporting &amp; Growth</t>
  </si>
  <si>
    <t xml:space="preserve">Pitch: See what is working and prove it: Google Analytics, Mixpanel and Segment instrumentation, HubSpot CRM logging, in-panel course and learner analytics, and CSV/PDF report downloads.</t>
  </si>
  <si>
    <t xml:space="preserve">Offer when the client asks about: analytics &amp; dashboards · exportable reports · marketing/CRM data · measuring learner behaviour</t>
  </si>
  <si>
    <t xml:space="preserve">Pairs well with: B10 (panel), B11 (admin)</t>
  </si>
  <si>
    <t xml:space="preserve">EDU-048</t>
  </si>
  <si>
    <t xml:space="preserve">Google Analytics Integration</t>
  </si>
  <si>
    <t xml:space="preserve">Provides detailed insights into user acquisition, behavior, and conversions allowing Edly to optimize the platform based on real user interactions.</t>
  </si>
  <si>
    <t xml:space="preserve">Google Analytics</t>
  </si>
  <si>
    <t xml:space="preserve">Google Analytics.</t>
  </si>
  <si>
    <t xml:space="preserve">EDU-046</t>
  </si>
  <si>
    <t xml:space="preserve">Mixpanel Integration</t>
  </si>
  <si>
    <t xml:space="preserve">Provides detailed insights into user behavior, allowing Edly to optimize the platform based on real user interactions.</t>
  </si>
  <si>
    <t xml:space="preserve">Mixpanel</t>
  </si>
  <si>
    <t xml:space="preserve">Mixpanel.</t>
  </si>
  <si>
    <t xml:space="preserve">EDU-064</t>
  </si>
  <si>
    <t xml:space="preserve">Segment Integration in Panel</t>
  </si>
  <si>
    <t xml:space="preserve">Course authors and site admins can add segment's key that can be used to access users interaction data specific to the segment. This data can be analyzed in a variety of analytics tools.</t>
  </si>
  <si>
    <t xml:space="preserve">Segment</t>
  </si>
  <si>
    <t xml:space="preserve">Segment (and downstream analytics tools).</t>
  </si>
  <si>
    <t xml:space="preserve">EDU-047</t>
  </si>
  <si>
    <t xml:space="preserve">Hubspot Integration</t>
  </si>
  <si>
    <t xml:space="preserve">Allows Edly to manage and keep a record of client calls.</t>
  </si>
  <si>
    <t xml:space="preserve">HubSpot</t>
  </si>
  <si>
    <t xml:space="preserve">HubSpot.</t>
  </si>
  <si>
    <t xml:space="preserve">EDU-077</t>
  </si>
  <si>
    <t xml:space="preserve">Courses &amp; Learner Analytics</t>
  </si>
  <si>
    <t xml:space="preserve">Admins and course authors can review analytics for course specific aspects directly in the panel</t>
  </si>
  <si>
    <t xml:space="preserve">EDU-078</t>
  </si>
  <si>
    <t xml:space="preserve">CSV/PDF Reports in Panel</t>
  </si>
  <si>
    <t xml:space="preserve">Admins and course authors can download analytical reports for course and/or learners in CSV/PDF format.</t>
  </si>
  <si>
    <t xml:space="preserve">B13 · Identity &amp; SSO</t>
  </si>
  <si>
    <t xml:space="preserve">Pitch: Frictionless, secure sign-in: social signup with Google, Azure, LinkedIn and Facebook, Azure AD B2C SSO, WordPress-to-LMS single sign-on, and an MIT-style social-auth backend as a reference implementation.</t>
  </si>
  <si>
    <t xml:space="preserve">Offer when the client asks about: SSO · social login · corporate identity (Azure AD B2C) · one login across site + LMS</t>
  </si>
  <si>
    <t xml:space="preserve">Pairs well with: B14 (WordPress)</t>
  </si>
  <si>
    <t xml:space="preserve">EDU-040</t>
  </si>
  <si>
    <t xml:space="preserve">Social Signup SSO (Google, MS Azure, LinkedIn, Facebook)</t>
  </si>
  <si>
    <t xml:space="preserve">Integrates SSO providers like Google, MS Azure, LinkedIn, and Facebook for easy registration and login.</t>
  </si>
  <si>
    <t xml:space="preserve">Other · Custom Plugin</t>
  </si>
  <si>
    <t xml:space="preserve">Chosen social/SSO providers</t>
  </si>
  <si>
    <t xml:space="preserve">Google, Microsoft Azure, LinkedIn, Facebook (social signup / SSO).</t>
  </si>
  <si>
    <t xml:space="preserve">EDU-088</t>
  </si>
  <si>
    <t xml:space="preserve">SSO with azure b2c</t>
  </si>
  <si>
    <t xml:space="preserve">Single sign on with azure b2c</t>
  </si>
  <si>
    <t xml:space="preserve">SSO · Standalone Module</t>
  </si>
  <si>
    <t xml:space="preserve">Microsoft Azure AD B2C</t>
  </si>
  <si>
    <t xml:space="preserve">Microsoft Azure AD B2C.</t>
  </si>
  <si>
    <t xml:space="preserve">EDU-090</t>
  </si>
  <si>
    <t xml:space="preserve">WordPress SSO</t>
  </si>
  <si>
    <t xml:space="preserve">Single sign-on between a client WordPress site and Open edX — users authenticate once and move between the marketing/community site and the LMS without re-login</t>
  </si>
  <si>
    <t xml:space="preserve">Authentication / Integration · Existing Plugin</t>
  </si>
  <si>
    <t xml:space="preserve">WordPress</t>
  </si>
  <si>
    <t xml:space="preserve">WordPress (OAuth2 single sign-on).</t>
  </si>
  <si>
    <t xml:space="preserve">~1 h per reuse: register the OAuth client on both sides, set site URLs and redirect/callback paths, map user attributes, smoke-test login both directions. Assumes client already has WordPress admin access and DNS/SSL in place.</t>
  </si>
  <si>
    <t xml:space="preserve">https://github.com/teachsim-lab/oauth-djangoapp</t>
  </si>
  <si>
    <t xml:space="preserve">EDU-035</t>
  </si>
  <si>
    <t xml:space="preserve">Social Auth</t>
  </si>
  <si>
    <t xml:space="preserve">An Open edX plugin implementing MIT social auth backend</t>
  </si>
  <si>
    <t xml:space="preserve">MIT social auth backend; companion auth plugin (openedx_companion_auth).</t>
  </si>
  <si>
    <t xml:space="preserve">MIT-specific reference implementation; pair with openedx_companion_auth.</t>
  </si>
  <si>
    <t xml:space="preserve">https://github.com/mitodl/open-edx-plugins/tree/main/src/ol_social_auth</t>
  </si>
  <si>
    <t xml:space="preserve">B14 · WordPress Marketing Site</t>
  </si>
  <si>
    <t xml:space="preserve">Pitch: A marketing front-end wired to the LMS: WordPress course catalog via Open edX APIs, blog, CloudFront/S3-backed media library, and a curated pack of essential WordPress plugins.</t>
  </si>
  <si>
    <t xml:space="preserve">Offer when the client asks about: marketing website · public course catalog · blog &amp; SEO · landing pages</t>
  </si>
  <si>
    <t xml:space="preserve">Pairs well with: B13 (SSO), B01 (commerce)</t>
  </si>
  <si>
    <t xml:space="preserve">EDU-021</t>
  </si>
  <si>
    <t xml:space="preserve">Wordpress Integration</t>
  </si>
  <si>
    <t xml:space="preserve">Integrate a CMS like Wordpress with open edx apis for course catalog and other pages</t>
  </si>
  <si>
    <t xml:space="preserve">Integration · Standalone Module</t>
  </si>
  <si>
    <t xml:space="preserve">WordPress (course catalog and pages via Open edX APIs).</t>
  </si>
  <si>
    <t xml:space="preserve">EDU-085</t>
  </si>
  <si>
    <t xml:space="preserve">WP Blog Integration in Edly</t>
  </si>
  <si>
    <t xml:space="preserve">Creates and manages blogs using WordPress Blog functionality.</t>
  </si>
  <si>
    <t xml:space="preserve">WordPress (blog).</t>
  </si>
  <si>
    <t xml:space="preserve">EDU-084</t>
  </si>
  <si>
    <t xml:space="preserve">WP Media Library</t>
  </si>
  <si>
    <t xml:space="preserve">Ensures a robust media library for WordPress backed by Amazon CloudFront and S3.</t>
  </si>
  <si>
    <t xml:space="preserve">AWS (CloudFront/S3) and WordPress</t>
  </si>
  <si>
    <t xml:space="preserve">WordPress; Amazon CloudFront; Amazon S3.</t>
  </si>
  <si>
    <t xml:space="preserve">EDU-086</t>
  </si>
  <si>
    <t xml:space="preserve">WP Plugins (Elementor, Forminator, Contact Form 7, Borlabs Cookie, Mailchimp, H5P, Usetiful, Yoast, ACF Pro, 301 Redirects)</t>
  </si>
  <si>
    <t xml:space="preserve">Bundled WordPress site comes with essential plugins enabled by default.</t>
  </si>
  <si>
    <t xml:space="preserve">Bundled WordPress plugins (several are paid tiers)</t>
  </si>
  <si>
    <t xml:space="preserve">WordPress plugins: Elementor, Forminator, Contact Form 7, Borlabs Cookie, Mailchimp, H5P, Usetiful, Yoast, ACF Pro, 301 Redirects.</t>
  </si>
  <si>
    <t xml:space="preserve">B15 · Platform Engineering &amp; Integrations</t>
  </si>
  <si>
    <t xml:space="preserve">Pitch: Keep the platform healthy and connected: Sentry monitoring, git and S3 course export and sync, a safe email deadbox for testing, an Open edX API client, plus Canvas and panel-level LTI interoperability.</t>
  </si>
  <si>
    <t xml:space="preserve">Offer when the client asks about: DevOps &amp; monitoring · course backups &amp; version control · LMS interoperability (Canvas, LTI) · API access</t>
  </si>
  <si>
    <t xml:space="preserve">Pairs well with: B11 (admin)</t>
  </si>
  <si>
    <t xml:space="preserve">EDU-034</t>
  </si>
  <si>
    <t xml:space="preserve">Sentry Integration</t>
  </si>
  <si>
    <t xml:space="preserve">A Django app plugin that configures the Sentry SDK for Open edX (both the LMS and the CMS). The plugin initializes the SDK from ENV_TOKENS when a DSN is present; when no DSN is configured it is a complete no-op, so it is safe to install everywhere and enable per deployment.</t>
  </si>
  <si>
    <t xml:space="preserve">Sentry</t>
  </si>
  <si>
    <t xml:space="preserve">Sentry (enabled per deployment via DSN).</t>
  </si>
  <si>
    <t xml:space="preserve">https://github.com/mitodl/open-edx-plugins/tree/main/src/ol_openedx_sentry</t>
  </si>
  <si>
    <t xml:space="preserve">EDU-033</t>
  </si>
  <si>
    <t xml:space="preserve">Git Auto Export</t>
  </si>
  <si>
    <t xml:space="preserve">An Open edX plugin to auto export courses to GitHub</t>
  </si>
  <si>
    <t xml:space="preserve">GitHub</t>
  </si>
  <si>
    <t xml:space="preserve">GitHub.</t>
  </si>
  <si>
    <t xml:space="preserve">https://github.com/mitodl/open-edx-plugins/tree/main/src/ol_openedx_git_auto_export</t>
  </si>
  <si>
    <t xml:space="preserve">EDU-029</t>
  </si>
  <si>
    <t xml:space="preserve">Course Export S3 Plugin</t>
  </si>
  <si>
    <t xml:space="preserve">A django app plugin to add a new API to Open edX to export courses to S3 buckets.</t>
  </si>
  <si>
    <t xml:space="preserve">AWS</t>
  </si>
  <si>
    <t xml:space="preserve">AWS S3.</t>
  </si>
  <si>
    <t xml:space="preserve">https://github.com/mitodl/open-edx-plugins/tree/main/src/ol_openedx_course_export</t>
  </si>
  <si>
    <t xml:space="preserve">EDU-030</t>
  </si>
  <si>
    <t xml:space="preserve">Course Sync</t>
  </si>
  <si>
    <t xml:space="preserve">An Open edX plugin to sync course changes to its reruns.</t>
  </si>
  <si>
    <t xml:space="preserve">https://github.com/mitodl/open-edx-plugins/tree/main/src/ol_openedx_course_sync</t>
  </si>
  <si>
    <t xml:space="preserve">EDU-016</t>
  </si>
  <si>
    <t xml:space="preserve">Email Deadbox</t>
  </si>
  <si>
    <t xml:space="preserve">Allows to send all emails to a deadbox email address, if dead box is enabled. Useful for testing</t>
  </si>
  <si>
    <t xml:space="preserve">Other · Mixed Feature</t>
  </si>
  <si>
    <t xml:space="preserve">Outbound email (SMTP) - all mail redirected to one deadbox address.</t>
  </si>
  <si>
    <t xml:space="preserve">EDU-037</t>
  </si>
  <si>
    <t xml:space="preserve">Open edX API Client</t>
  </si>
  <si>
    <t xml:space="preserve">An API client for Open edX APIs</t>
  </si>
  <si>
    <t xml:space="preserve">Open edX APIs.</t>
  </si>
  <si>
    <t xml:space="preserve">https://github.com/mitodl/edx-api-client/</t>
  </si>
  <si>
    <t xml:space="preserve">EDU-026</t>
  </si>
  <si>
    <t xml:space="preserve">Canvas Integration</t>
  </si>
  <si>
    <t xml:space="preserve">A django app plugin to add Canvas integration to Open edX.</t>
  </si>
  <si>
    <t xml:space="preserve">Canvas</t>
  </si>
  <si>
    <t xml:space="preserve">Canvas LMS.</t>
  </si>
  <si>
    <t xml:space="preserve">https://github.com/mitodl/open-edx-plugins/tree/main/src/ol_openedx_canvas_integration</t>
  </si>
  <si>
    <t xml:space="preserve">EDU-066</t>
  </si>
  <si>
    <t xml:space="preserve">LTI Integration in Panel</t>
  </si>
  <si>
    <t xml:space="preserve">Admins can override the LTI integrations at an instance or course level via the panel.</t>
  </si>
  <si>
    <t xml:space="preserve">LTI tools (override at instance or course level).</t>
  </si>
  <si>
    <t xml:space="preserve">All Components — full feature-to-bundle mapping (87 items)</t>
  </si>
  <si>
    <t xml:space="preserve">Category</t>
  </si>
  <si>
    <t xml:space="preserve">Sub Category</t>
  </si>
  <si>
    <t xml:space="preserve">3rd-party account</t>
  </si>
  <si>
    <t xml:space="preserve">Integration</t>
  </si>
  <si>
    <t xml:space="preserve">Out-of-the-box</t>
  </si>
  <si>
    <t xml:space="preserve">Custom Plugin</t>
  </si>
  <si>
    <t xml:space="preserve">Django App</t>
  </si>
  <si>
    <t xml:space="preserve">XBlock</t>
  </si>
  <si>
    <t xml:space="preserve">Existing Plugin (XBlock)</t>
  </si>
  <si>
    <t xml:space="preserve">Tutor Plugin</t>
  </si>
  <si>
    <t xml:space="preserve">MFE (Frontend)</t>
  </si>
  <si>
    <t xml:space="preserve">Standalone Module</t>
  </si>
  <si>
    <t xml:space="preserve">Other</t>
  </si>
  <si>
    <t xml:space="preserve">SSO</t>
  </si>
  <si>
    <t xml:space="preserve">Authentication / Integration</t>
  </si>
  <si>
    <t xml:space="preserve">Existing Plugin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</si>
</sst>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"/>
    <numFmt numFmtId="166" formatCode="0%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u val="single"/>
      <sz val="9"/>
      <color rgb="FF1F5FA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u val="single"/>
      <sz val="9"/>
      <color rgb="FF1F5FA8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B4D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5F7FA"/>
        <bgColor rgb="FFFFFFFF"/>
      </patternFill>
    </fill>
    <fill>
      <patternFill patternType="solid">
        <fgColor rgb="FFD9E7EE"/>
        <bgColor rgb="FFF5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B4D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5FA8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B4530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CC"/>
      <rgbColor rgb="FF8A8A8A"/>
      <rgbColor rgb="FF9999FF"/>
      <rgbColor rgb="FF993366"/>
      <rgbColor rgb="FFF5F7FA"/>
      <rgbColor rgb="FFD9E7EE"/>
      <rgbColor rgb="FF660066"/>
      <rgbColor rgb="FFFF8080"/>
      <rgbColor rgb="FF1F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B4D"/>
      <rgbColor rgb="FF2E86AB"/>
      <rgbColor rgb="FF003300"/>
      <rgbColor rgb="FF444444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ithub.com/wikimedia/edx-platform/issues/555" TargetMode="External"/><Relationship Id="rId2" Type="http://schemas.openxmlformats.org/officeDocument/2006/relationships/hyperlink" Target="https://github.com/mitodl/open-edx-plugins/tree/main/src/ol_openedx_course_translations" TargetMode="External"/><Relationship Id="rId3" Type="http://schemas.openxmlformats.org/officeDocument/2006/relationships/hyperlink" Target="https://github.com/mitodl/open-edx-plugins/tree/main/src/ol_openedx_ai_static_translations" TargetMode="External"/><Relationship Id="rId4" Type="http://schemas.openxmlformats.org/officeDocument/2006/relationships/hyperlink" Target="https://github.com/mitodl/open-edx-plugins/tree/main/src/ol_openedx_auto_select_language" TargetMode="External"/><Relationship Id="rId5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github.com/mitodl/open-edx-plugins/tree/main/src/ol_openedx_chat" TargetMode="External"/><Relationship Id="rId2" Type="http://schemas.openxmlformats.org/officeDocument/2006/relationships/hyperlink" Target="https://github.com/mitodl/open-edx-plugins/tree/main/src/ol_openedx_chat_xblock" TargetMode="External"/><Relationship Id="rId3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github.com/mitodl/edx-sga" TargetMode="External"/><Relationship Id="rId2" Type="http://schemas.openxmlformats.org/officeDocument/2006/relationships/hyperlink" Target="https://github.com/teachsim-lab/video-rater-xblock" TargetMode="External"/><Relationship Id="rId3" Type="http://schemas.openxmlformats.org/officeDocument/2006/relationships/hyperlink" Target="https://github.com/mitodl/open-edx-plugins/tree/main/src/rapid_response_xblock" TargetMode="External"/><Relationship Id="rId4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github.com/wikimedia/edx-platform/issues/522" TargetMode="External"/><Relationship Id="rId2" Type="http://schemas.openxmlformats.org/officeDocument/2006/relationships/hyperlink" Target="https://github.com/mitodl/open-edx-plugins/tree/main/src/ol_openedx_feedback" TargetMode="External"/><Relationship Id="rId3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github.com/edly-io/tutor-contrib-fbr/tree/master/tutorfbr/templates/fbr/openedx-features-fbr" TargetMode="External"/><Relationship Id="rId2" Type="http://schemas.openxmlformats.org/officeDocument/2006/relationships/hyperlink" Target="https://github.com/edly-io/tutor-contrib-fbr/tree/master/tutorfbr/templates/fbr/openedx-features-fbr" TargetMode="External"/><Relationship Id="rId3" Type="http://schemas.openxmlformats.org/officeDocument/2006/relationships/hyperlink" Target="https://github.com/edly-io/tutor-contrib-fbr/tree/master/tutorfbr/templates/fbr/openedx-features-fbr" TargetMode="External"/><Relationship Id="rId4" Type="http://schemas.openxmlformats.org/officeDocument/2006/relationships/hyperlink" Target="https://github.com/edly-io/tutor-contrib-fbr/tree/master/tutorfbr/templates/fbr/openedx-features-fbr" TargetMode="External"/><Relationship Id="rId5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github.com/mitodl/lehrer/tree/main/deployments/mit-ol/mfe_slot_config/legacy" TargetMode="External"/><Relationship Id="rId2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github.com/mitodl/open-edx-plugins/tree/main/src/edx_sysadmin" TargetMode="External"/><Relationship Id="rId2" Type="http://schemas.openxmlformats.org/officeDocument/2006/relationships/hyperlink" Target="https://github.com/mitodl/open-edx-plugins/tree/main/src/edx_username_changer" TargetMode="External"/><Relationship Id="rId3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github.com/teachsim-lab/oauth-djangoapp" TargetMode="External"/><Relationship Id="rId2" Type="http://schemas.openxmlformats.org/officeDocument/2006/relationships/hyperlink" Target="https://github.com/mitodl/open-edx-plugins/tree/main/src/ol_social_auth" TargetMode="External"/><Relationship Id="rId3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github.com/mitodl/open-edx-plugins/tree/main/src/ol_openedx_sentry" TargetMode="External"/><Relationship Id="rId2" Type="http://schemas.openxmlformats.org/officeDocument/2006/relationships/hyperlink" Target="https://github.com/mitodl/open-edx-plugins/tree/main/src/ol_openedx_git_auto_export" TargetMode="External"/><Relationship Id="rId3" Type="http://schemas.openxmlformats.org/officeDocument/2006/relationships/hyperlink" Target="https://github.com/mitodl/open-edx-plugins/tree/main/src/ol_openedx_course_export" TargetMode="External"/><Relationship Id="rId4" Type="http://schemas.openxmlformats.org/officeDocument/2006/relationships/hyperlink" Target="https://github.com/mitodl/open-edx-plugins/tree/main/src/ol_openedx_course_sync" TargetMode="External"/><Relationship Id="rId5" Type="http://schemas.openxmlformats.org/officeDocument/2006/relationships/hyperlink" Target="https://github.com/mitodl/edx-api-client/" TargetMode="External"/><Relationship Id="rId6" Type="http://schemas.openxmlformats.org/officeDocument/2006/relationships/hyperlink" Target="https://github.com/mitodl/open-edx-plugins/tree/main/src/ol_openedx_canvas_integration" TargetMode="External"/><Relationship Id="rId7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4D"/>
    <pageSetUpPr fitToPage="false"/>
  </sheetPr>
  <dimension ref="A1:O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56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30"/>
    <col collapsed="false" customWidth="true" hidden="false" outlineLevel="0" max="14" min="14" style="0" width="18"/>
    <col collapsed="false" customWidth="true" hidden="false" outlineLevel="0" max="15" min="1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32.8" hidden="false" customHeight="false" outlineLevel="0" collapsed="false">
      <c r="A5" s="4" t="s">
        <v>17</v>
      </c>
      <c r="B5" s="5" t="s">
        <v>18</v>
      </c>
      <c r="C5" s="6" t="s">
        <v>19</v>
      </c>
      <c r="D5" s="6" t="s">
        <v>20</v>
      </c>
      <c r="E5" s="4" t="n">
        <f aca="false">COUNTA('B01 Commerce &amp; Monetization'!$A$7:$A$13)</f>
        <v>7</v>
      </c>
      <c r="F5" s="6" t="s">
        <v>21</v>
      </c>
      <c r="G5" s="7" t="n">
        <f aca="false">SUM('B01 Commerce &amp; Monetization'!$I$7:$I$13)</f>
        <v>212</v>
      </c>
      <c r="H5" s="7" t="n">
        <f aca="false">SUM('B01 Commerce &amp; Monetization'!$G$7:$G$13)</f>
        <v>73</v>
      </c>
      <c r="I5" s="7" t="n">
        <f aca="false">SUM('B01 Commerce &amp; Monetization'!$H$7:$H$13)</f>
        <v>15</v>
      </c>
      <c r="J5" s="8" t="n">
        <f aca="false">IFERROR(1-H5/G5,"")</f>
        <v>0.655660377358491</v>
      </c>
      <c r="K5" s="4" t="n">
        <f aca="false">COUNTBLANK('B01 Commerce &amp; Monetization'!$G$7:$G$13)</f>
        <v>0</v>
      </c>
      <c r="L5" s="4" t="n">
        <f aca="false">COUNTIF('B01 Commerce &amp; Monetization'!$E$7:$E$13,"In Development")</f>
        <v>0</v>
      </c>
      <c r="M5" s="6" t="s">
        <v>22</v>
      </c>
      <c r="N5" s="6" t="s">
        <v>23</v>
      </c>
      <c r="O5" s="9"/>
    </row>
    <row r="6" customFormat="false" ht="32.8" hidden="false" customHeight="false" outlineLevel="0" collapsed="false">
      <c r="A6" s="10" t="s">
        <v>24</v>
      </c>
      <c r="B6" s="11" t="s">
        <v>25</v>
      </c>
      <c r="C6" s="12" t="s">
        <v>26</v>
      </c>
      <c r="D6" s="12" t="s">
        <v>27</v>
      </c>
      <c r="E6" s="10" t="n">
        <f aca="false">COUNTA('B02 Localization &amp; Global'!$A$7:$A$11)</f>
        <v>5</v>
      </c>
      <c r="F6" s="12" t="s">
        <v>28</v>
      </c>
      <c r="G6" s="13" t="n">
        <f aca="false">SUM('B02 Localization &amp; Global'!$I$7:$I$11)</f>
        <v>2000</v>
      </c>
      <c r="H6" s="13" t="n">
        <f aca="false">SUM('B02 Localization &amp; Global'!$G$7:$G$11)</f>
        <v>181</v>
      </c>
      <c r="I6" s="13" t="n">
        <f aca="false">SUM('B02 Localization &amp; Global'!$H$7:$H$11)</f>
        <v>91</v>
      </c>
      <c r="J6" s="14" t="n">
        <f aca="false">IFERROR(1-H6/G6,"")</f>
        <v>0.9095</v>
      </c>
      <c r="K6" s="10" t="n">
        <f aca="false">COUNTBLANK('B02 Localization &amp; Global'!$G$7:$G$11)</f>
        <v>0</v>
      </c>
      <c r="L6" s="10" t="n">
        <f aca="false">COUNTIF('B02 Localization &amp; Global'!$E$7:$E$11,"In Development")</f>
        <v>0</v>
      </c>
      <c r="M6" s="12" t="s">
        <v>29</v>
      </c>
      <c r="N6" s="12" t="s">
        <v>30</v>
      </c>
      <c r="O6" s="9"/>
    </row>
    <row r="7" customFormat="false" ht="22.35" hidden="false" customHeight="false" outlineLevel="0" collapsed="false">
      <c r="A7" s="4" t="s">
        <v>31</v>
      </c>
      <c r="B7" s="5" t="s">
        <v>32</v>
      </c>
      <c r="C7" s="6" t="s">
        <v>33</v>
      </c>
      <c r="D7" s="6" t="s">
        <v>34</v>
      </c>
      <c r="E7" s="4" t="n">
        <f aca="false">COUNTA('B03 AI Learning Experience'!$A$7:$A$8)</f>
        <v>2</v>
      </c>
      <c r="F7" s="6" t="s">
        <v>35</v>
      </c>
      <c r="G7" s="7" t="n">
        <f aca="false">SUM('B03 AI Learning Experience'!$I$7:$I$8)</f>
        <v>440</v>
      </c>
      <c r="H7" s="7" t="n">
        <f aca="false">SUM('B03 AI Learning Experience'!$G$7:$G$8)</f>
        <v>350</v>
      </c>
      <c r="I7" s="7" t="n">
        <f aca="false">SUM('B03 AI Learning Experience'!$H$7:$H$8)</f>
        <v>350</v>
      </c>
      <c r="J7" s="8" t="n">
        <f aca="false">IFERROR(1-H7/G7,"")</f>
        <v>0.204545454545455</v>
      </c>
      <c r="K7" s="4" t="n">
        <f aca="false">COUNTBLANK('B03 AI Learning Experience'!$G$7:$G$8)</f>
        <v>0</v>
      </c>
      <c r="L7" s="4" t="n">
        <f aca="false">COUNTIF('B03 AI Learning Experience'!$E$7:$E$8,"In Development")</f>
        <v>0</v>
      </c>
      <c r="M7" s="6" t="s">
        <v>36</v>
      </c>
      <c r="N7" s="6" t="s">
        <v>37</v>
      </c>
      <c r="O7" s="9"/>
    </row>
    <row r="8" customFormat="false" ht="32.8" hidden="false" customHeight="false" outlineLevel="0" collapsed="false">
      <c r="A8" s="10" t="s">
        <v>38</v>
      </c>
      <c r="B8" s="11" t="s">
        <v>39</v>
      </c>
      <c r="C8" s="12" t="s">
        <v>40</v>
      </c>
      <c r="D8" s="12" t="s">
        <v>41</v>
      </c>
      <c r="E8" s="10" t="n">
        <f aca="false">COUNTA('B04 Assessment &amp; Credentials'!$A$7:$A$13)</f>
        <v>7</v>
      </c>
      <c r="F8" s="12" t="s">
        <v>42</v>
      </c>
      <c r="G8" s="13" t="n">
        <f aca="false">SUM('B04 Assessment &amp; Credentials'!$I$7:$I$13)</f>
        <v>1244</v>
      </c>
      <c r="H8" s="13" t="n">
        <f aca="false">SUM('B04 Assessment &amp; Credentials'!$G$7:$G$13)</f>
        <v>325.25</v>
      </c>
      <c r="I8" s="13" t="n">
        <f aca="false">SUM('B04 Assessment &amp; Credentials'!$H$7:$H$13)</f>
        <v>159.25</v>
      </c>
      <c r="J8" s="14" t="n">
        <f aca="false">IFERROR(1-H8/G8,"")</f>
        <v>0.738545016077171</v>
      </c>
      <c r="K8" s="10" t="n">
        <f aca="false">COUNTBLANK('B04 Assessment &amp; Credentials'!$G$7:$G$13)</f>
        <v>0</v>
      </c>
      <c r="L8" s="10" t="n">
        <f aca="false">COUNTIF('B04 Assessment &amp; Credentials'!$E$7:$E$13,"In Development")</f>
        <v>0</v>
      </c>
      <c r="M8" s="12" t="s">
        <v>43</v>
      </c>
      <c r="N8" s="12" t="s">
        <v>44</v>
      </c>
      <c r="O8" s="9"/>
    </row>
    <row r="9" customFormat="false" ht="32.8" hidden="false" customHeight="false" outlineLevel="0" collapsed="false">
      <c r="A9" s="4" t="s">
        <v>45</v>
      </c>
      <c r="B9" s="5" t="s">
        <v>46</v>
      </c>
      <c r="C9" s="6" t="s">
        <v>47</v>
      </c>
      <c r="D9" s="6" t="s">
        <v>48</v>
      </c>
      <c r="E9" s="4" t="n">
        <f aca="false">COUNTA('B05 Learning Paths'!$A$7:$A$10)</f>
        <v>4</v>
      </c>
      <c r="F9" s="6" t="s">
        <v>49</v>
      </c>
      <c r="G9" s="7" t="n">
        <f aca="false">SUM('B05 Learning Paths'!$I$7:$I$10)</f>
        <v>940</v>
      </c>
      <c r="H9" s="7" t="n">
        <f aca="false">SUM('B05 Learning Paths'!$G$7:$G$10)</f>
        <v>723</v>
      </c>
      <c r="I9" s="7" t="n">
        <f aca="false">SUM('B05 Learning Paths'!$H$7:$H$10)</f>
        <v>358</v>
      </c>
      <c r="J9" s="8" t="n">
        <f aca="false">IFERROR(1-H9/G9,"")</f>
        <v>0.230851063829787</v>
      </c>
      <c r="K9" s="4" t="n">
        <f aca="false">COUNTBLANK('B05 Learning Paths'!$G$7:$G$10)</f>
        <v>0</v>
      </c>
      <c r="L9" s="4" t="n">
        <f aca="false">COUNTIF('B05 Learning Paths'!$E$7:$E$10,"In Development")</f>
        <v>0</v>
      </c>
      <c r="M9" s="6" t="s">
        <v>50</v>
      </c>
      <c r="N9" s="6" t="s">
        <v>51</v>
      </c>
      <c r="O9" s="9"/>
    </row>
    <row r="10" customFormat="false" ht="43.25" hidden="false" customHeight="false" outlineLevel="0" collapsed="false">
      <c r="A10" s="10" t="s">
        <v>52</v>
      </c>
      <c r="B10" s="11" t="s">
        <v>53</v>
      </c>
      <c r="C10" s="12" t="s">
        <v>54</v>
      </c>
      <c r="D10" s="12" t="s">
        <v>55</v>
      </c>
      <c r="E10" s="10" t="n">
        <f aca="false">COUNTA('B06 Interactive Content Pack'!$A$7:$A$20)</f>
        <v>14</v>
      </c>
      <c r="F10" s="12" t="s">
        <v>56</v>
      </c>
      <c r="G10" s="13" t="n">
        <f aca="false">SUM('B06 Interactive Content Pack'!$I$7:$I$20)</f>
        <v>256</v>
      </c>
      <c r="H10" s="13" t="n">
        <f aca="false">SUM('B06 Interactive Content Pack'!$G$7:$G$20)</f>
        <v>87</v>
      </c>
      <c r="I10" s="13" t="n">
        <f aca="false">SUM('B06 Interactive Content Pack'!$H$7:$H$20)</f>
        <v>23</v>
      </c>
      <c r="J10" s="14" t="n">
        <f aca="false">IFERROR(1-H10/G10,"")</f>
        <v>0.66015625</v>
      </c>
      <c r="K10" s="10" t="n">
        <f aca="false">COUNTBLANK('B06 Interactive Content Pack'!$G$7:$G$20)</f>
        <v>0</v>
      </c>
      <c r="L10" s="10" t="n">
        <f aca="false">COUNTIF('B06 Interactive Content Pack'!$E$7:$E$20,"In Development")</f>
        <v>0</v>
      </c>
      <c r="M10" s="12" t="s">
        <v>57</v>
      </c>
      <c r="N10" s="12" t="s">
        <v>58</v>
      </c>
      <c r="O10" s="9"/>
    </row>
    <row r="11" customFormat="false" ht="32.8" hidden="false" customHeight="false" outlineLevel="0" collapsed="false">
      <c r="A11" s="4" t="s">
        <v>59</v>
      </c>
      <c r="B11" s="5" t="s">
        <v>60</v>
      </c>
      <c r="C11" s="6" t="s">
        <v>61</v>
      </c>
      <c r="D11" s="6" t="s">
        <v>62</v>
      </c>
      <c r="E11" s="4" t="n">
        <f aca="false">COUNTA('B07 Engagement &amp; Feedback'!$A$7:$A$11)</f>
        <v>5</v>
      </c>
      <c r="F11" s="6" t="s">
        <v>63</v>
      </c>
      <c r="G11" s="7" t="n">
        <f aca="false">SUM('B07 Engagement &amp; Feedback'!$I$7:$I$11)</f>
        <v>695</v>
      </c>
      <c r="H11" s="7" t="n">
        <f aca="false">SUM('B07 Engagement &amp; Feedback'!$G$7:$G$11)</f>
        <v>356</v>
      </c>
      <c r="I11" s="7" t="n">
        <f aca="false">SUM('B07 Engagement &amp; Feedback'!$H$7:$H$11)</f>
        <v>210</v>
      </c>
      <c r="J11" s="8" t="n">
        <f aca="false">IFERROR(1-H11/G11,"")</f>
        <v>0.487769784172662</v>
      </c>
      <c r="K11" s="4" t="n">
        <f aca="false">COUNTBLANK('B07 Engagement &amp; Feedback'!$G$7:$G$11)</f>
        <v>0</v>
      </c>
      <c r="L11" s="4" t="n">
        <f aca="false">COUNTIF('B07 Engagement &amp; Feedback'!$E$7:$E$11,"In Development")</f>
        <v>1</v>
      </c>
      <c r="M11" s="6" t="s">
        <v>50</v>
      </c>
      <c r="N11" s="6" t="s">
        <v>64</v>
      </c>
      <c r="O11" s="9"/>
    </row>
    <row r="12" customFormat="false" ht="32.8" hidden="false" customHeight="false" outlineLevel="0" collapsed="false">
      <c r="A12" s="10" t="s">
        <v>65</v>
      </c>
      <c r="B12" s="11" t="s">
        <v>66</v>
      </c>
      <c r="C12" s="12" t="s">
        <v>67</v>
      </c>
      <c r="D12" s="12" t="s">
        <v>68</v>
      </c>
      <c r="E12" s="10" t="n">
        <f aca="false">COUNTA('B08 Academy Ops (ILT)'!$A$7:$A$10)</f>
        <v>4</v>
      </c>
      <c r="F12" s="12" t="s">
        <v>69</v>
      </c>
      <c r="G12" s="13" t="n">
        <f aca="false">SUM('B08 Academy Ops (ILT)'!$I$7:$I$10)</f>
        <v>520</v>
      </c>
      <c r="H12" s="13" t="n">
        <f aca="false">SUM('B08 Academy Ops (ILT)'!$G$7:$G$10)</f>
        <v>0</v>
      </c>
      <c r="I12" s="13" t="n">
        <f aca="false">SUM('B08 Academy Ops (ILT)'!$H$7:$H$10)</f>
        <v>0</v>
      </c>
      <c r="J12" s="14" t="n">
        <f aca="false">IFERROR(1-H12/G12,"")</f>
        <v>1</v>
      </c>
      <c r="K12" s="10" t="n">
        <f aca="false">COUNTBLANK('B08 Academy Ops (ILT)'!$G$7:$G$10)</f>
        <v>4</v>
      </c>
      <c r="L12" s="10" t="n">
        <f aca="false">COUNTIF('B08 Academy Ops (ILT)'!$E$7:$E$10,"In Development")</f>
        <v>4</v>
      </c>
      <c r="M12" s="12" t="s">
        <v>50</v>
      </c>
      <c r="N12" s="12" t="s">
        <v>70</v>
      </c>
      <c r="O12" s="9"/>
    </row>
    <row r="13" customFormat="false" ht="32.8" hidden="false" customHeight="false" outlineLevel="0" collapsed="false">
      <c r="A13" s="4" t="s">
        <v>71</v>
      </c>
      <c r="B13" s="5" t="s">
        <v>72</v>
      </c>
      <c r="C13" s="6" t="s">
        <v>73</v>
      </c>
      <c r="D13" s="6" t="s">
        <v>74</v>
      </c>
      <c r="E13" s="4" t="n">
        <f aca="false">COUNTA('B09 Branding &amp; White-Label'!$A$7:$A$9)</f>
        <v>3</v>
      </c>
      <c r="F13" s="6" t="s">
        <v>75</v>
      </c>
      <c r="G13" s="7" t="n">
        <f aca="false">SUM('B09 Branding &amp; White-Label'!$I$7:$I$9)</f>
        <v>560</v>
      </c>
      <c r="H13" s="7" t="n">
        <f aca="false">SUM('B09 Branding &amp; White-Label'!$G$7:$G$9)</f>
        <v>44</v>
      </c>
      <c r="I13" s="7" t="n">
        <f aca="false">SUM('B09 Branding &amp; White-Label'!$H$7:$H$9)</f>
        <v>32</v>
      </c>
      <c r="J13" s="8" t="n">
        <f aca="false">IFERROR(1-H13/G13,"")</f>
        <v>0.921428571428572</v>
      </c>
      <c r="K13" s="4" t="n">
        <f aca="false">COUNTBLANK('B09 Branding &amp; White-Label'!$G$7:$G$9)</f>
        <v>0</v>
      </c>
      <c r="L13" s="4" t="n">
        <f aca="false">COUNTIF('B09 Branding &amp; White-Label'!$E$7:$E$9,"In Development")</f>
        <v>0</v>
      </c>
      <c r="M13" s="6" t="s">
        <v>50</v>
      </c>
      <c r="N13" s="6" t="s">
        <v>76</v>
      </c>
      <c r="O13" s="9"/>
    </row>
    <row r="14" customFormat="false" ht="32.8" hidden="false" customHeight="false" outlineLevel="0" collapsed="false">
      <c r="A14" s="10" t="s">
        <v>77</v>
      </c>
      <c r="B14" s="11" t="s">
        <v>78</v>
      </c>
      <c r="C14" s="12" t="s">
        <v>79</v>
      </c>
      <c r="D14" s="12" t="s">
        <v>80</v>
      </c>
      <c r="E14" s="10" t="n">
        <f aca="false">COUNTA('B10 Multisite &amp; SaaS Ops'!$A$7:$A$11)</f>
        <v>5</v>
      </c>
      <c r="F14" s="12" t="s">
        <v>81</v>
      </c>
      <c r="G14" s="13" t="n">
        <f aca="false">SUM('B10 Multisite &amp; SaaS Ops'!$I$7:$I$11)</f>
        <v>804</v>
      </c>
      <c r="H14" s="13" t="n">
        <f aca="false">SUM('B10 Multisite &amp; SaaS Ops'!$G$7:$G$11)</f>
        <v>218</v>
      </c>
      <c r="I14" s="13" t="n">
        <f aca="false">SUM('B10 Multisite &amp; SaaS Ops'!$H$7:$H$11)</f>
        <v>40</v>
      </c>
      <c r="J14" s="14" t="n">
        <f aca="false">IFERROR(1-H14/G14,"")</f>
        <v>0.728855721393035</v>
      </c>
      <c r="K14" s="10" t="n">
        <f aca="false">COUNTBLANK('B10 Multisite &amp; SaaS Ops'!$G$7:$G$11)</f>
        <v>0</v>
      </c>
      <c r="L14" s="10" t="n">
        <f aca="false">COUNTIF('B10 Multisite &amp; SaaS Ops'!$E$7:$E$11,"In Development")</f>
        <v>0</v>
      </c>
      <c r="M14" s="12" t="s">
        <v>50</v>
      </c>
      <c r="N14" s="12" t="s">
        <v>82</v>
      </c>
      <c r="O14" s="9"/>
    </row>
    <row r="15" customFormat="false" ht="43.25" hidden="false" customHeight="false" outlineLevel="0" collapsed="false">
      <c r="A15" s="4" t="s">
        <v>83</v>
      </c>
      <c r="B15" s="5" t="s">
        <v>84</v>
      </c>
      <c r="C15" s="6" t="s">
        <v>85</v>
      </c>
      <c r="D15" s="6" t="s">
        <v>86</v>
      </c>
      <c r="E15" s="4" t="n">
        <f aca="false">COUNTA('B11 Admin Productivity'!$A$7:$A$15)</f>
        <v>9</v>
      </c>
      <c r="F15" s="6" t="s">
        <v>87</v>
      </c>
      <c r="G15" s="7" t="n">
        <f aca="false">SUM('B11 Admin Productivity'!$I$7:$I$15)</f>
        <v>635</v>
      </c>
      <c r="H15" s="7" t="n">
        <f aca="false">SUM('B11 Admin Productivity'!$G$7:$G$15)</f>
        <v>307</v>
      </c>
      <c r="I15" s="7" t="n">
        <f aca="false">SUM('B11 Admin Productivity'!$H$7:$H$15)</f>
        <v>137</v>
      </c>
      <c r="J15" s="8" t="n">
        <f aca="false">IFERROR(1-H15/G15,"")</f>
        <v>0.516535433070866</v>
      </c>
      <c r="K15" s="4" t="n">
        <f aca="false">COUNTBLANK('B11 Admin Productivity'!$G$7:$G$15)</f>
        <v>0</v>
      </c>
      <c r="L15" s="4" t="n">
        <f aca="false">COUNTIF('B11 Admin Productivity'!$E$7:$E$15,"In Development")</f>
        <v>0</v>
      </c>
      <c r="M15" s="6" t="s">
        <v>88</v>
      </c>
      <c r="N15" s="6" t="s">
        <v>89</v>
      </c>
      <c r="O15" s="9"/>
    </row>
    <row r="16" customFormat="false" ht="32.8" hidden="false" customHeight="false" outlineLevel="0" collapsed="false">
      <c r="A16" s="10" t="s">
        <v>90</v>
      </c>
      <c r="B16" s="11" t="s">
        <v>91</v>
      </c>
      <c r="C16" s="12" t="s">
        <v>92</v>
      </c>
      <c r="D16" s="12" t="s">
        <v>93</v>
      </c>
      <c r="E16" s="10" t="n">
        <f aca="false">COUNTA('B12 Analytics &amp; Growth'!$A$7:$A$12)</f>
        <v>6</v>
      </c>
      <c r="F16" s="12" t="s">
        <v>94</v>
      </c>
      <c r="G16" s="13" t="n">
        <f aca="false">SUM('B12 Analytics &amp; Growth'!$I$7:$I$12)</f>
        <v>184</v>
      </c>
      <c r="H16" s="13" t="n">
        <f aca="false">SUM('B12 Analytics &amp; Growth'!$G$7:$G$12)</f>
        <v>64</v>
      </c>
      <c r="I16" s="13" t="n">
        <f aca="false">SUM('B12 Analytics &amp; Growth'!$H$7:$H$12)</f>
        <v>16</v>
      </c>
      <c r="J16" s="14" t="n">
        <f aca="false">IFERROR(1-H16/G16,"")</f>
        <v>0.652173913043478</v>
      </c>
      <c r="K16" s="10" t="n">
        <f aca="false">COUNTBLANK('B12 Analytics &amp; Growth'!$G$7:$G$12)</f>
        <v>0</v>
      </c>
      <c r="L16" s="10" t="n">
        <f aca="false">COUNTIF('B12 Analytics &amp; Growth'!$E$7:$E$12,"In Development")</f>
        <v>0</v>
      </c>
      <c r="M16" s="12" t="s">
        <v>95</v>
      </c>
      <c r="N16" s="12" t="s">
        <v>96</v>
      </c>
      <c r="O16" s="9"/>
    </row>
    <row r="17" customFormat="false" ht="32.8" hidden="false" customHeight="false" outlineLevel="0" collapsed="false">
      <c r="A17" s="4" t="s">
        <v>97</v>
      </c>
      <c r="B17" s="5" t="s">
        <v>98</v>
      </c>
      <c r="C17" s="6" t="s">
        <v>99</v>
      </c>
      <c r="D17" s="6" t="s">
        <v>100</v>
      </c>
      <c r="E17" s="4" t="n">
        <f aca="false">COUNTA('B13 Identity &amp; SSO'!$A$7:$A$10)</f>
        <v>4</v>
      </c>
      <c r="F17" s="6" t="s">
        <v>101</v>
      </c>
      <c r="G17" s="7" t="n">
        <f aca="false">SUM('B13 Identity &amp; SSO'!$I$7:$I$10)</f>
        <v>288</v>
      </c>
      <c r="H17" s="7" t="n">
        <f aca="false">SUM('B13 Identity &amp; SSO'!$G$7:$G$10)</f>
        <v>6</v>
      </c>
      <c r="I17" s="7" t="n">
        <f aca="false">SUM('B13 Identity &amp; SSO'!$H$7:$H$10)</f>
        <v>4</v>
      </c>
      <c r="J17" s="8" t="n">
        <f aca="false">IFERROR(1-H17/G17,"")</f>
        <v>0.979166666666667</v>
      </c>
      <c r="K17" s="4" t="n">
        <f aca="false">COUNTBLANK('B13 Identity &amp; SSO'!$G$7:$G$10)</f>
        <v>1</v>
      </c>
      <c r="L17" s="4" t="n">
        <f aca="false">COUNTIF('B13 Identity &amp; SSO'!$E$7:$E$10,"In Development")</f>
        <v>0</v>
      </c>
      <c r="M17" s="6" t="s">
        <v>102</v>
      </c>
      <c r="N17" s="6" t="s">
        <v>103</v>
      </c>
      <c r="O17" s="9"/>
    </row>
    <row r="18" customFormat="false" ht="32.8" hidden="false" customHeight="false" outlineLevel="0" collapsed="false">
      <c r="A18" s="10" t="s">
        <v>104</v>
      </c>
      <c r="B18" s="11" t="s">
        <v>105</v>
      </c>
      <c r="C18" s="12" t="s">
        <v>106</v>
      </c>
      <c r="D18" s="12" t="s">
        <v>107</v>
      </c>
      <c r="E18" s="10" t="n">
        <f aca="false">COUNTA('B14 WordPress Marketing'!$A$7:$A$10)</f>
        <v>4</v>
      </c>
      <c r="F18" s="12" t="s">
        <v>108</v>
      </c>
      <c r="G18" s="13" t="n">
        <f aca="false">SUM('B14 WordPress Marketing'!$I$7:$I$10)</f>
        <v>72</v>
      </c>
      <c r="H18" s="13" t="n">
        <f aca="false">SUM('B14 WordPress Marketing'!$G$7:$G$10)</f>
        <v>11</v>
      </c>
      <c r="I18" s="13" t="n">
        <f aca="false">SUM('B14 WordPress Marketing'!$H$7:$H$10)</f>
        <v>3</v>
      </c>
      <c r="J18" s="14" t="n">
        <f aca="false">IFERROR(1-H18/G18,"")</f>
        <v>0.847222222222222</v>
      </c>
      <c r="K18" s="10" t="n">
        <f aca="false">COUNTBLANK('B14 WordPress Marketing'!$G$7:$G$10)</f>
        <v>1</v>
      </c>
      <c r="L18" s="10" t="n">
        <f aca="false">COUNTIF('B14 WordPress Marketing'!$E$7:$E$10,"In Development")</f>
        <v>0</v>
      </c>
      <c r="M18" s="12" t="s">
        <v>109</v>
      </c>
      <c r="N18" s="12" t="s">
        <v>110</v>
      </c>
      <c r="O18" s="9"/>
    </row>
    <row r="19" customFormat="false" ht="32.8" hidden="false" customHeight="false" outlineLevel="0" collapsed="false">
      <c r="A19" s="4" t="s">
        <v>111</v>
      </c>
      <c r="B19" s="5" t="s">
        <v>112</v>
      </c>
      <c r="C19" s="6" t="s">
        <v>113</v>
      </c>
      <c r="D19" s="6" t="s">
        <v>114</v>
      </c>
      <c r="E19" s="4" t="n">
        <f aca="false">COUNTA('B15 Platform Eng &amp; Integrations'!$A$7:$A$14)</f>
        <v>8</v>
      </c>
      <c r="F19" s="6" t="s">
        <v>115</v>
      </c>
      <c r="G19" s="7" t="n">
        <f aca="false">SUM('B15 Platform Eng &amp; Integrations'!$I$7:$I$14)</f>
        <v>968</v>
      </c>
      <c r="H19" s="7" t="n">
        <f aca="false">SUM('B15 Platform Eng &amp; Integrations'!$G$7:$G$14)</f>
        <v>34</v>
      </c>
      <c r="I19" s="7" t="n">
        <f aca="false">SUM('B15 Platform Eng &amp; Integrations'!$H$7:$H$14)</f>
        <v>18</v>
      </c>
      <c r="J19" s="8" t="n">
        <f aca="false">IFERROR(1-H19/G19,"")</f>
        <v>0.964876033057851</v>
      </c>
      <c r="K19" s="4" t="n">
        <f aca="false">COUNTBLANK('B15 Platform Eng &amp; Integrations'!$G$7:$G$14)</f>
        <v>0</v>
      </c>
      <c r="L19" s="4" t="n">
        <f aca="false">COUNTIF('B15 Platform Eng &amp; Integrations'!$E$7:$E$14,"In Development")</f>
        <v>0</v>
      </c>
      <c r="M19" s="6" t="s">
        <v>116</v>
      </c>
      <c r="N19" s="6" t="s">
        <v>117</v>
      </c>
      <c r="O19" s="9"/>
    </row>
    <row r="20" customFormat="false" ht="15" hidden="false" customHeight="false" outlineLevel="0" collapsed="false">
      <c r="A20" s="15"/>
      <c r="B20" s="16" t="s">
        <v>118</v>
      </c>
      <c r="C20" s="15"/>
      <c r="D20" s="15"/>
      <c r="E20" s="15" t="n">
        <f aca="false">SUM(E5:E19)</f>
        <v>87</v>
      </c>
      <c r="F20" s="15"/>
      <c r="G20" s="17" t="n">
        <f aca="false">SUM(G5:G19)</f>
        <v>9818</v>
      </c>
      <c r="H20" s="17" t="n">
        <f aca="false">SUM(H5:H19)</f>
        <v>2779.25</v>
      </c>
      <c r="I20" s="17" t="n">
        <f aca="false">SUM(I5:I19)</f>
        <v>1456.25</v>
      </c>
      <c r="J20" s="18" t="n">
        <f aca="false">IFERROR(1-H20/G20,"")</f>
        <v>0.716922998574048</v>
      </c>
      <c r="K20" s="15" t="n">
        <f aca="false">SUM(K5:K19)</f>
        <v>6</v>
      </c>
      <c r="L20" s="15" t="n">
        <f aca="false">SUM(L5:L19)</f>
        <v>5</v>
      </c>
      <c r="M20" s="15"/>
      <c r="N20" s="15"/>
      <c r="O20" s="15"/>
    </row>
    <row r="22" customFormat="false" ht="12.75" hidden="false" customHeight="true" outlineLevel="0" collapsed="false">
      <c r="A22" s="19" t="s">
        <v>119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customFormat="false" ht="25.5" hidden="false" customHeight="true" outlineLevel="0" collapsed="false">
      <c r="A23" s="20" t="s">
        <v>120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customFormat="false" ht="25.5" hidden="false" customHeight="true" outlineLevel="0" collapsed="false">
      <c r="A24" s="20" t="s">
        <v>121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customFormat="false" ht="25.5" hidden="false" customHeight="true" outlineLevel="0" collapsed="false">
      <c r="A25" s="20" t="s">
        <v>122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customFormat="false" ht="25.5" hidden="false" customHeight="true" outlineLevel="0" collapsed="false">
      <c r="A26" s="20" t="s">
        <v>123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customFormat="false" ht="25.5" hidden="false" customHeight="true" outlineLevel="0" collapsed="false">
      <c r="A27" s="20" t="s">
        <v>124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customFormat="false" ht="25.5" hidden="false" customHeight="true" outlineLevel="0" collapsed="false">
      <c r="A28" s="20" t="s">
        <v>125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</sheetData>
  <autoFilter ref="A4:O19"/>
  <mergeCells count="9">
    <mergeCell ref="A1:O1"/>
    <mergeCell ref="A2:O2"/>
    <mergeCell ref="A22:O22"/>
    <mergeCell ref="A23:O23"/>
    <mergeCell ref="A24:O24"/>
    <mergeCell ref="A25:O25"/>
    <mergeCell ref="A26:O26"/>
    <mergeCell ref="A27:O27"/>
    <mergeCell ref="A28:O28"/>
  </mergeCells>
  <hyperlinks>
    <hyperlink ref="B5" location="'B01 Commerce &amp; Monetization'!A1" display="Commerce &amp; Monetization"/>
    <hyperlink ref="B6" location="'B02 Localization &amp; Global'!A1" display="Localization &amp; Global Delivery"/>
    <hyperlink ref="B7" location="'B03 AI Learning Experience'!A1" display="AI Learning Experience"/>
    <hyperlink ref="B8" location="'B04 Assessment &amp; Credentials'!A1" display="Assessment &amp; Credentialing"/>
    <hyperlink ref="B9" location="'B05 Learning Paths'!A1" display="Learning Paths &amp; Curriculum"/>
    <hyperlink ref="B10" location="'B06 Interactive Content Pack'!A1" display="Interactive Content Pack (XBlocks)"/>
    <hyperlink ref="B11" location="'B07 Engagement &amp; Feedback'!A1" display="Learner Engagement &amp; Feedback"/>
    <hyperlink ref="B12" location="'B08 Academy Ops (ILT)'!A1" display="Academy Operations — ILT &amp; Scheduling"/>
    <hyperlink ref="B13" location="'B09 Branding &amp; White-Label'!A1" display="Branding &amp; White-Label"/>
    <hyperlink ref="B14" location="'B10 Multisite &amp; SaaS Ops'!A1" display="Multisite &amp; SaaS Operations"/>
    <hyperlink ref="B15" location="'B11 Admin Productivity'!A1" display="Admin Productivity Suite"/>
    <hyperlink ref="B16" location="'B12 Analytics &amp; Growth'!A1" display="Analytics, Reporting &amp; Growth"/>
    <hyperlink ref="B17" location="'B13 Identity &amp; SSO'!A1" display="Identity &amp; SSO"/>
    <hyperlink ref="B18" location="'B14 WordPress Marketing'!A1" display="WordPress Marketing Site"/>
    <hyperlink ref="B19" location="'B15 Platform Eng &amp; Integrations'!A1" display="Platform Engineering &amp; Integra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126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127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128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129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22.35" hidden="false" customHeight="false" outlineLevel="0" collapsed="false">
      <c r="A7" s="4" t="s">
        <v>144</v>
      </c>
      <c r="B7" s="6" t="s">
        <v>145</v>
      </c>
      <c r="C7" s="6" t="s">
        <v>146</v>
      </c>
      <c r="D7" s="6" t="s">
        <v>147</v>
      </c>
      <c r="E7" s="4" t="s">
        <v>148</v>
      </c>
      <c r="F7" s="4" t="s">
        <v>149</v>
      </c>
      <c r="G7" s="7" t="n">
        <v>5</v>
      </c>
      <c r="H7" s="7" t="n">
        <v>1</v>
      </c>
      <c r="I7" s="7" t="n">
        <v>16</v>
      </c>
      <c r="J7" s="23" t="n">
        <v>0.938</v>
      </c>
      <c r="K7" s="6" t="s">
        <v>150</v>
      </c>
      <c r="L7" s="6" t="s">
        <v>151</v>
      </c>
      <c r="M7" s="6" t="s">
        <v>50</v>
      </c>
      <c r="N7" s="6" t="s">
        <v>50</v>
      </c>
    </row>
    <row r="8" customFormat="false" ht="22.35" hidden="false" customHeight="false" outlineLevel="0" collapsed="false">
      <c r="A8" s="10" t="s">
        <v>152</v>
      </c>
      <c r="B8" s="12" t="s">
        <v>153</v>
      </c>
      <c r="C8" s="12" t="s">
        <v>154</v>
      </c>
      <c r="D8" s="12" t="s">
        <v>147</v>
      </c>
      <c r="E8" s="10" t="s">
        <v>148</v>
      </c>
      <c r="F8" s="10" t="s">
        <v>149</v>
      </c>
      <c r="G8" s="13" t="n">
        <v>5</v>
      </c>
      <c r="H8" s="13" t="n">
        <v>1</v>
      </c>
      <c r="I8" s="13" t="n">
        <v>16</v>
      </c>
      <c r="J8" s="24" t="n">
        <v>0.938</v>
      </c>
      <c r="K8" s="12" t="s">
        <v>155</v>
      </c>
      <c r="L8" s="12" t="s">
        <v>156</v>
      </c>
      <c r="M8" s="12" t="s">
        <v>50</v>
      </c>
      <c r="N8" s="12" t="s">
        <v>50</v>
      </c>
    </row>
    <row r="9" customFormat="false" ht="22.35" hidden="false" customHeight="false" outlineLevel="0" collapsed="false">
      <c r="A9" s="4" t="s">
        <v>157</v>
      </c>
      <c r="B9" s="6" t="s">
        <v>158</v>
      </c>
      <c r="C9" s="6" t="s">
        <v>159</v>
      </c>
      <c r="D9" s="6" t="s">
        <v>147</v>
      </c>
      <c r="E9" s="4" t="s">
        <v>148</v>
      </c>
      <c r="F9" s="4" t="s">
        <v>149</v>
      </c>
      <c r="G9" s="7" t="n">
        <v>5</v>
      </c>
      <c r="H9" s="7" t="n">
        <v>1</v>
      </c>
      <c r="I9" s="7" t="n">
        <v>16</v>
      </c>
      <c r="J9" s="23" t="n">
        <v>0.938</v>
      </c>
      <c r="K9" s="6" t="s">
        <v>160</v>
      </c>
      <c r="L9" s="6" t="s">
        <v>161</v>
      </c>
      <c r="M9" s="6" t="s">
        <v>50</v>
      </c>
      <c r="N9" s="6" t="s">
        <v>50</v>
      </c>
    </row>
    <row r="10" customFormat="false" ht="22.35" hidden="false" customHeight="false" outlineLevel="0" collapsed="false">
      <c r="A10" s="10" t="s">
        <v>162</v>
      </c>
      <c r="B10" s="12" t="s">
        <v>163</v>
      </c>
      <c r="C10" s="12" t="s">
        <v>164</v>
      </c>
      <c r="D10" s="12" t="s">
        <v>147</v>
      </c>
      <c r="E10" s="10" t="s">
        <v>148</v>
      </c>
      <c r="F10" s="10" t="s">
        <v>165</v>
      </c>
      <c r="G10" s="13" t="n">
        <v>8</v>
      </c>
      <c r="H10" s="13" t="n">
        <v>2</v>
      </c>
      <c r="I10" s="13" t="n">
        <v>20</v>
      </c>
      <c r="J10" s="24" t="n">
        <v>0.9</v>
      </c>
      <c r="K10" s="12" t="s">
        <v>166</v>
      </c>
      <c r="L10" s="12" t="s">
        <v>167</v>
      </c>
      <c r="M10" s="12" t="s">
        <v>50</v>
      </c>
      <c r="N10" s="12" t="s">
        <v>50</v>
      </c>
    </row>
    <row r="11" customFormat="false" ht="22.35" hidden="false" customHeight="false" outlineLevel="0" collapsed="false">
      <c r="A11" s="4" t="s">
        <v>168</v>
      </c>
      <c r="B11" s="6" t="s">
        <v>169</v>
      </c>
      <c r="C11" s="6" t="s">
        <v>170</v>
      </c>
      <c r="D11" s="6" t="s">
        <v>171</v>
      </c>
      <c r="E11" s="4" t="s">
        <v>148</v>
      </c>
      <c r="F11" s="4" t="s">
        <v>172</v>
      </c>
      <c r="G11" s="7" t="n">
        <v>20</v>
      </c>
      <c r="H11" s="7" t="n">
        <v>4</v>
      </c>
      <c r="I11" s="7" t="n">
        <v>60</v>
      </c>
      <c r="J11" s="23" t="n">
        <v>0.933</v>
      </c>
      <c r="K11" s="6" t="s">
        <v>173</v>
      </c>
      <c r="L11" s="6" t="s">
        <v>174</v>
      </c>
      <c r="M11" s="6" t="s">
        <v>50</v>
      </c>
      <c r="N11" s="6" t="s">
        <v>50</v>
      </c>
    </row>
    <row r="12" customFormat="false" ht="22.35" hidden="false" customHeight="false" outlineLevel="0" collapsed="false">
      <c r="A12" s="10" t="s">
        <v>175</v>
      </c>
      <c r="B12" s="12" t="s">
        <v>176</v>
      </c>
      <c r="C12" s="12" t="s">
        <v>177</v>
      </c>
      <c r="D12" s="12" t="s">
        <v>147</v>
      </c>
      <c r="E12" s="10" t="s">
        <v>148</v>
      </c>
      <c r="F12" s="10" t="s">
        <v>165</v>
      </c>
      <c r="G12" s="13" t="n">
        <v>10</v>
      </c>
      <c r="H12" s="13" t="n">
        <v>2</v>
      </c>
      <c r="I12" s="13" t="n">
        <v>24</v>
      </c>
      <c r="J12" s="24" t="n">
        <v>0.917</v>
      </c>
      <c r="K12" s="12" t="s">
        <v>178</v>
      </c>
      <c r="L12" s="12" t="s">
        <v>179</v>
      </c>
      <c r="M12" s="12" t="s">
        <v>180</v>
      </c>
      <c r="N12" s="12" t="s">
        <v>50</v>
      </c>
    </row>
    <row r="13" customFormat="false" ht="22.35" hidden="false" customHeight="false" outlineLevel="0" collapsed="false">
      <c r="A13" s="4" t="s">
        <v>181</v>
      </c>
      <c r="B13" s="6" t="s">
        <v>182</v>
      </c>
      <c r="C13" s="6" t="s">
        <v>183</v>
      </c>
      <c r="D13" s="6" t="s">
        <v>184</v>
      </c>
      <c r="E13" s="4" t="s">
        <v>148</v>
      </c>
      <c r="F13" s="4" t="s">
        <v>172</v>
      </c>
      <c r="G13" s="7" t="n">
        <v>20</v>
      </c>
      <c r="H13" s="7" t="n">
        <v>4</v>
      </c>
      <c r="I13" s="7" t="n">
        <v>60</v>
      </c>
      <c r="J13" s="23" t="n">
        <v>0.933</v>
      </c>
      <c r="K13" s="6" t="s">
        <v>50</v>
      </c>
      <c r="L13" s="6" t="s">
        <v>185</v>
      </c>
      <c r="M13" s="6" t="s">
        <v>186</v>
      </c>
      <c r="N13" s="6" t="s">
        <v>50</v>
      </c>
    </row>
    <row r="14" customFormat="false" ht="15" hidden="false" customHeight="false" outlineLevel="0" collapsed="false">
      <c r="A14" s="16"/>
      <c r="B14" s="16" t="s">
        <v>187</v>
      </c>
      <c r="C14" s="16"/>
      <c r="D14" s="16"/>
      <c r="E14" s="16"/>
      <c r="F14" s="16"/>
      <c r="G14" s="17" t="n">
        <f aca="false">SUM(G7:G13)</f>
        <v>73</v>
      </c>
      <c r="H14" s="17" t="n">
        <f aca="false">SUM(H7:H13)</f>
        <v>15</v>
      </c>
      <c r="I14" s="17" t="n">
        <f aca="false">SUM(I7:I13)</f>
        <v>212</v>
      </c>
      <c r="J14" s="16"/>
      <c r="K14" s="16"/>
      <c r="L14" s="16"/>
      <c r="M14" s="16"/>
      <c r="N14" s="16"/>
    </row>
  </sheetData>
  <autoFilter ref="A6:N13"/>
  <mergeCells count="4">
    <mergeCell ref="A1:N1"/>
    <mergeCell ref="A2:N2"/>
    <mergeCell ref="A3:N3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188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189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190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191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32.8" hidden="false" customHeight="false" outlineLevel="0" collapsed="false">
      <c r="A7" s="4" t="s">
        <v>192</v>
      </c>
      <c r="B7" s="6" t="s">
        <v>193</v>
      </c>
      <c r="C7" s="6" t="s">
        <v>194</v>
      </c>
      <c r="D7" s="6" t="s">
        <v>184</v>
      </c>
      <c r="E7" s="4" t="s">
        <v>148</v>
      </c>
      <c r="F7" s="4" t="s">
        <v>195</v>
      </c>
      <c r="G7" s="7" t="n">
        <v>160</v>
      </c>
      <c r="H7" s="7" t="n">
        <v>80</v>
      </c>
      <c r="I7" s="7" t="n">
        <v>1600</v>
      </c>
      <c r="J7" s="23" t="n">
        <v>0.95</v>
      </c>
      <c r="K7" s="6" t="s">
        <v>50</v>
      </c>
      <c r="L7" s="6" t="s">
        <v>50</v>
      </c>
      <c r="M7" s="6" t="s">
        <v>196</v>
      </c>
      <c r="N7" s="25" t="s">
        <v>197</v>
      </c>
    </row>
    <row r="8" customFormat="false" ht="22.35" hidden="false" customHeight="false" outlineLevel="0" collapsed="false">
      <c r="A8" s="10" t="s">
        <v>198</v>
      </c>
      <c r="B8" s="12" t="s">
        <v>199</v>
      </c>
      <c r="C8" s="12" t="s">
        <v>200</v>
      </c>
      <c r="D8" s="12" t="s">
        <v>201</v>
      </c>
      <c r="E8" s="10" t="s">
        <v>148</v>
      </c>
      <c r="F8" s="10" t="s">
        <v>165</v>
      </c>
      <c r="G8" s="13" t="n">
        <v>2</v>
      </c>
      <c r="H8" s="13" t="n">
        <v>2</v>
      </c>
      <c r="I8" s="13" t="n">
        <v>160</v>
      </c>
      <c r="J8" s="24" t="n">
        <v>0.988</v>
      </c>
      <c r="K8" s="12" t="s">
        <v>202</v>
      </c>
      <c r="L8" s="12" t="s">
        <v>203</v>
      </c>
      <c r="M8" s="12" t="s">
        <v>50</v>
      </c>
      <c r="N8" s="26" t="s">
        <v>204</v>
      </c>
    </row>
    <row r="9" customFormat="false" ht="43.25" hidden="false" customHeight="false" outlineLevel="0" collapsed="false">
      <c r="A9" s="4" t="s">
        <v>205</v>
      </c>
      <c r="B9" s="6" t="s">
        <v>206</v>
      </c>
      <c r="C9" s="6" t="s">
        <v>207</v>
      </c>
      <c r="D9" s="6" t="s">
        <v>201</v>
      </c>
      <c r="E9" s="4" t="s">
        <v>148</v>
      </c>
      <c r="F9" s="4" t="s">
        <v>165</v>
      </c>
      <c r="G9" s="7" t="n">
        <v>2</v>
      </c>
      <c r="H9" s="7" t="n">
        <v>2</v>
      </c>
      <c r="I9" s="7" t="n">
        <v>120</v>
      </c>
      <c r="J9" s="23" t="n">
        <v>0.983</v>
      </c>
      <c r="K9" s="6" t="s">
        <v>208</v>
      </c>
      <c r="L9" s="6" t="s">
        <v>209</v>
      </c>
      <c r="M9" s="6" t="s">
        <v>50</v>
      </c>
      <c r="N9" s="25" t="s">
        <v>210</v>
      </c>
    </row>
    <row r="10" customFormat="false" ht="22.35" hidden="false" customHeight="false" outlineLevel="0" collapsed="false">
      <c r="A10" s="10" t="s">
        <v>211</v>
      </c>
      <c r="B10" s="12" t="s">
        <v>212</v>
      </c>
      <c r="C10" s="12" t="s">
        <v>213</v>
      </c>
      <c r="D10" s="12" t="s">
        <v>201</v>
      </c>
      <c r="E10" s="10" t="s">
        <v>148</v>
      </c>
      <c r="F10" s="10" t="s">
        <v>172</v>
      </c>
      <c r="G10" s="13" t="n">
        <v>4</v>
      </c>
      <c r="H10" s="13" t="n">
        <v>4</v>
      </c>
      <c r="I10" s="13" t="n">
        <v>80</v>
      </c>
      <c r="J10" s="24" t="n">
        <v>0.95</v>
      </c>
      <c r="K10" s="12" t="s">
        <v>50</v>
      </c>
      <c r="L10" s="12" t="s">
        <v>214</v>
      </c>
      <c r="M10" s="12" t="s">
        <v>215</v>
      </c>
      <c r="N10" s="26" t="s">
        <v>216</v>
      </c>
    </row>
    <row r="11" customFormat="false" ht="22.35" hidden="false" customHeight="false" outlineLevel="0" collapsed="false">
      <c r="A11" s="4" t="s">
        <v>217</v>
      </c>
      <c r="B11" s="6" t="s">
        <v>218</v>
      </c>
      <c r="C11" s="6" t="s">
        <v>219</v>
      </c>
      <c r="D11" s="6" t="s">
        <v>220</v>
      </c>
      <c r="E11" s="4" t="s">
        <v>148</v>
      </c>
      <c r="F11" s="4" t="s">
        <v>221</v>
      </c>
      <c r="G11" s="7" t="n">
        <v>13</v>
      </c>
      <c r="H11" s="7" t="n">
        <v>3</v>
      </c>
      <c r="I11" s="7" t="n">
        <v>40</v>
      </c>
      <c r="J11" s="23" t="n">
        <v>0.925</v>
      </c>
      <c r="K11" s="6" t="s">
        <v>222</v>
      </c>
      <c r="L11" s="6" t="s">
        <v>223</v>
      </c>
      <c r="M11" s="6" t="s">
        <v>186</v>
      </c>
      <c r="N11" s="6" t="s">
        <v>50</v>
      </c>
    </row>
    <row r="12" customFormat="false" ht="15" hidden="false" customHeight="false" outlineLevel="0" collapsed="false">
      <c r="A12" s="16"/>
      <c r="B12" s="16" t="s">
        <v>187</v>
      </c>
      <c r="C12" s="16"/>
      <c r="D12" s="16"/>
      <c r="E12" s="16"/>
      <c r="F12" s="16"/>
      <c r="G12" s="17" t="n">
        <f aca="false">SUM(G7:G11)</f>
        <v>181</v>
      </c>
      <c r="H12" s="17" t="n">
        <f aca="false">SUM(H7:H11)</f>
        <v>91</v>
      </c>
      <c r="I12" s="17" t="n">
        <f aca="false">SUM(I7:I11)</f>
        <v>2000</v>
      </c>
      <c r="J12" s="16"/>
      <c r="K12" s="16"/>
      <c r="L12" s="16"/>
      <c r="M12" s="16"/>
      <c r="N12" s="16"/>
    </row>
  </sheetData>
  <autoFilter ref="A6:N11"/>
  <mergeCells count="4">
    <mergeCell ref="A1:N1"/>
    <mergeCell ref="A2:N2"/>
    <mergeCell ref="A3:N3"/>
    <mergeCell ref="A4:N4"/>
  </mergeCells>
  <hyperlinks>
    <hyperlink ref="N7" r:id="rId1" display="https://github.com/wikimedia/edx-platform/issues/555"/>
    <hyperlink ref="N8" r:id="rId2" display="https://github.com/mitodl/open-edx-plugins/tree/main/src/ol_openedx_course_translations"/>
    <hyperlink ref="N9" r:id="rId3" display="https://github.com/mitodl/open-edx-plugins/tree/main/src/ol_openedx_ai_static_translations"/>
    <hyperlink ref="N10" r:id="rId4" display="https://github.com/mitodl/open-edx-plugins/tree/main/src/ol_openedx_auto_select_langu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224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225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226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227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32.8" hidden="false" customHeight="false" outlineLevel="0" collapsed="false">
      <c r="A7" s="4" t="s">
        <v>228</v>
      </c>
      <c r="B7" s="6" t="s">
        <v>229</v>
      </c>
      <c r="C7" s="6" t="s">
        <v>230</v>
      </c>
      <c r="D7" s="6" t="s">
        <v>201</v>
      </c>
      <c r="E7" s="4" t="s">
        <v>148</v>
      </c>
      <c r="F7" s="4" t="s">
        <v>231</v>
      </c>
      <c r="G7" s="7" t="n">
        <v>250</v>
      </c>
      <c r="H7" s="7" t="n">
        <v>250</v>
      </c>
      <c r="I7" s="7" t="n">
        <v>320</v>
      </c>
      <c r="J7" s="23" t="n">
        <v>0.219</v>
      </c>
      <c r="K7" s="6" t="s">
        <v>232</v>
      </c>
      <c r="L7" s="6" t="s">
        <v>233</v>
      </c>
      <c r="M7" s="6" t="s">
        <v>234</v>
      </c>
      <c r="N7" s="25" t="s">
        <v>235</v>
      </c>
    </row>
    <row r="8" customFormat="false" ht="22.35" hidden="false" customHeight="false" outlineLevel="0" collapsed="false">
      <c r="A8" s="10" t="s">
        <v>236</v>
      </c>
      <c r="B8" s="12" t="s">
        <v>237</v>
      </c>
      <c r="C8" s="12" t="s">
        <v>238</v>
      </c>
      <c r="D8" s="12" t="s">
        <v>239</v>
      </c>
      <c r="E8" s="10" t="s">
        <v>148</v>
      </c>
      <c r="F8" s="10" t="s">
        <v>240</v>
      </c>
      <c r="G8" s="13" t="n">
        <v>100</v>
      </c>
      <c r="H8" s="13" t="n">
        <v>100</v>
      </c>
      <c r="I8" s="13" t="n">
        <v>120</v>
      </c>
      <c r="J8" s="24" t="n">
        <v>0.167</v>
      </c>
      <c r="K8" s="12" t="s">
        <v>241</v>
      </c>
      <c r="L8" s="12" t="s">
        <v>242</v>
      </c>
      <c r="M8" s="12" t="s">
        <v>243</v>
      </c>
      <c r="N8" s="26" t="s">
        <v>244</v>
      </c>
    </row>
    <row r="9" customFormat="false" ht="15" hidden="false" customHeight="false" outlineLevel="0" collapsed="false">
      <c r="A9" s="16"/>
      <c r="B9" s="16" t="s">
        <v>187</v>
      </c>
      <c r="C9" s="16"/>
      <c r="D9" s="16"/>
      <c r="E9" s="16"/>
      <c r="F9" s="16"/>
      <c r="G9" s="17" t="n">
        <f aca="false">SUM(G7:G8)</f>
        <v>350</v>
      </c>
      <c r="H9" s="17" t="n">
        <f aca="false">SUM(H7:H8)</f>
        <v>350</v>
      </c>
      <c r="I9" s="17" t="n">
        <f aca="false">SUM(I7:I8)</f>
        <v>440</v>
      </c>
      <c r="J9" s="16"/>
      <c r="K9" s="16"/>
      <c r="L9" s="16"/>
      <c r="M9" s="16"/>
      <c r="N9" s="16"/>
    </row>
  </sheetData>
  <autoFilter ref="A6:N8"/>
  <mergeCells count="4">
    <mergeCell ref="A1:N1"/>
    <mergeCell ref="A2:N2"/>
    <mergeCell ref="A3:N3"/>
    <mergeCell ref="A4:N4"/>
  </mergeCells>
  <hyperlinks>
    <hyperlink ref="N7" r:id="rId1" display="https://github.com/mitodl/open-edx-plugins/tree/main/src/ol_openedx_chat"/>
    <hyperlink ref="N8" r:id="rId2" display="https://github.com/mitodl/open-edx-plugins/tree/main/src/ol_openedx_chat_xblo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245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246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247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248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15" hidden="false" customHeight="false" outlineLevel="0" collapsed="false">
      <c r="A7" s="4" t="s">
        <v>249</v>
      </c>
      <c r="B7" s="6" t="s">
        <v>250</v>
      </c>
      <c r="C7" s="6" t="s">
        <v>251</v>
      </c>
      <c r="D7" s="6" t="s">
        <v>239</v>
      </c>
      <c r="E7" s="4" t="s">
        <v>148</v>
      </c>
      <c r="F7" s="4" t="s">
        <v>149</v>
      </c>
      <c r="G7" s="7" t="n">
        <v>1</v>
      </c>
      <c r="H7" s="7" t="n">
        <v>1</v>
      </c>
      <c r="I7" s="7" t="n">
        <v>320</v>
      </c>
      <c r="J7" s="23" t="n">
        <v>0.997</v>
      </c>
      <c r="K7" s="6" t="s">
        <v>50</v>
      </c>
      <c r="L7" s="6" t="s">
        <v>50</v>
      </c>
      <c r="M7" s="6" t="s">
        <v>50</v>
      </c>
      <c r="N7" s="25" t="s">
        <v>252</v>
      </c>
    </row>
    <row r="8" customFormat="false" ht="43.25" hidden="false" customHeight="false" outlineLevel="0" collapsed="false">
      <c r="A8" s="10" t="s">
        <v>253</v>
      </c>
      <c r="B8" s="12" t="s">
        <v>254</v>
      </c>
      <c r="C8" s="12" t="s">
        <v>255</v>
      </c>
      <c r="D8" s="12" t="s">
        <v>256</v>
      </c>
      <c r="E8" s="10" t="s">
        <v>148</v>
      </c>
      <c r="F8" s="10" t="s">
        <v>257</v>
      </c>
      <c r="G8" s="13" t="n">
        <v>0.25</v>
      </c>
      <c r="H8" s="13" t="n">
        <v>0.25</v>
      </c>
      <c r="I8" s="13" t="n">
        <v>70</v>
      </c>
      <c r="J8" s="24" t="n">
        <v>0.996</v>
      </c>
      <c r="K8" s="12" t="s">
        <v>50</v>
      </c>
      <c r="L8" s="12" t="s">
        <v>258</v>
      </c>
      <c r="M8" s="12" t="s">
        <v>259</v>
      </c>
      <c r="N8" s="26" t="s">
        <v>260</v>
      </c>
    </row>
    <row r="9" customFormat="false" ht="22.35" hidden="false" customHeight="false" outlineLevel="0" collapsed="false">
      <c r="A9" s="4" t="s">
        <v>261</v>
      </c>
      <c r="B9" s="6" t="s">
        <v>262</v>
      </c>
      <c r="C9" s="6" t="s">
        <v>263</v>
      </c>
      <c r="D9" s="6" t="s">
        <v>184</v>
      </c>
      <c r="E9" s="4" t="s">
        <v>148</v>
      </c>
      <c r="F9" s="4" t="s">
        <v>264</v>
      </c>
      <c r="G9" s="7" t="n">
        <v>120</v>
      </c>
      <c r="H9" s="7" t="n">
        <v>60</v>
      </c>
      <c r="I9" s="7" t="n">
        <v>150</v>
      </c>
      <c r="J9" s="23" t="n">
        <v>0.6</v>
      </c>
      <c r="K9" s="6" t="s">
        <v>50</v>
      </c>
      <c r="L9" s="6" t="s">
        <v>50</v>
      </c>
      <c r="M9" s="6" t="s">
        <v>186</v>
      </c>
      <c r="N9" s="6" t="s">
        <v>265</v>
      </c>
    </row>
    <row r="10" customFormat="false" ht="22.35" hidden="false" customHeight="false" outlineLevel="0" collapsed="false">
      <c r="A10" s="10" t="s">
        <v>266</v>
      </c>
      <c r="B10" s="12" t="s">
        <v>267</v>
      </c>
      <c r="C10" s="12" t="s">
        <v>268</v>
      </c>
      <c r="D10" s="12" t="s">
        <v>201</v>
      </c>
      <c r="E10" s="10" t="s">
        <v>148</v>
      </c>
      <c r="F10" s="10" t="s">
        <v>165</v>
      </c>
      <c r="G10" s="13" t="n">
        <v>2</v>
      </c>
      <c r="H10" s="13" t="n">
        <v>2</v>
      </c>
      <c r="I10" s="13" t="n">
        <v>240</v>
      </c>
      <c r="J10" s="24" t="n">
        <v>0.992</v>
      </c>
      <c r="K10" s="12" t="s">
        <v>50</v>
      </c>
      <c r="L10" s="12" t="s">
        <v>50</v>
      </c>
      <c r="M10" s="12" t="s">
        <v>50</v>
      </c>
      <c r="N10" s="26" t="s">
        <v>269</v>
      </c>
    </row>
    <row r="11" customFormat="false" ht="22.35" hidden="false" customHeight="false" outlineLevel="0" collapsed="false">
      <c r="A11" s="4" t="s">
        <v>270</v>
      </c>
      <c r="B11" s="6" t="s">
        <v>271</v>
      </c>
      <c r="C11" s="6" t="s">
        <v>272</v>
      </c>
      <c r="D11" s="6" t="s">
        <v>184</v>
      </c>
      <c r="E11" s="4" t="s">
        <v>148</v>
      </c>
      <c r="F11" s="4" t="s">
        <v>273</v>
      </c>
      <c r="G11" s="7" t="n">
        <v>180</v>
      </c>
      <c r="H11" s="7" t="n">
        <v>90</v>
      </c>
      <c r="I11" s="7" t="n">
        <v>400</v>
      </c>
      <c r="J11" s="23" t="n">
        <v>0.775</v>
      </c>
      <c r="K11" s="6" t="s">
        <v>50</v>
      </c>
      <c r="L11" s="6" t="s">
        <v>50</v>
      </c>
      <c r="M11" s="6" t="s">
        <v>186</v>
      </c>
      <c r="N11" s="6" t="s">
        <v>265</v>
      </c>
    </row>
    <row r="12" customFormat="false" ht="22.35" hidden="false" customHeight="false" outlineLevel="0" collapsed="false">
      <c r="A12" s="10" t="s">
        <v>274</v>
      </c>
      <c r="B12" s="12" t="s">
        <v>275</v>
      </c>
      <c r="C12" s="12" t="s">
        <v>276</v>
      </c>
      <c r="D12" s="12" t="s">
        <v>277</v>
      </c>
      <c r="E12" s="10" t="s">
        <v>148</v>
      </c>
      <c r="F12" s="10" t="s">
        <v>165</v>
      </c>
      <c r="G12" s="13" t="n">
        <v>6</v>
      </c>
      <c r="H12" s="13" t="n">
        <v>2</v>
      </c>
      <c r="I12" s="13" t="n">
        <v>16</v>
      </c>
      <c r="J12" s="24" t="n">
        <v>0.875</v>
      </c>
      <c r="K12" s="12" t="s">
        <v>43</v>
      </c>
      <c r="L12" s="12" t="s">
        <v>278</v>
      </c>
      <c r="M12" s="12" t="s">
        <v>50</v>
      </c>
      <c r="N12" s="12" t="s">
        <v>50</v>
      </c>
    </row>
    <row r="13" customFormat="false" ht="22.35" hidden="false" customHeight="false" outlineLevel="0" collapsed="false">
      <c r="A13" s="4" t="s">
        <v>279</v>
      </c>
      <c r="B13" s="6" t="s">
        <v>280</v>
      </c>
      <c r="C13" s="6" t="s">
        <v>281</v>
      </c>
      <c r="D13" s="6" t="s">
        <v>282</v>
      </c>
      <c r="E13" s="4" t="s">
        <v>148</v>
      </c>
      <c r="F13" s="4" t="s">
        <v>172</v>
      </c>
      <c r="G13" s="7" t="n">
        <v>16</v>
      </c>
      <c r="H13" s="7" t="n">
        <v>4</v>
      </c>
      <c r="I13" s="7" t="n">
        <v>48</v>
      </c>
      <c r="J13" s="23" t="n">
        <v>0.917</v>
      </c>
      <c r="K13" s="6" t="s">
        <v>50</v>
      </c>
      <c r="L13" s="6" t="s">
        <v>283</v>
      </c>
      <c r="M13" s="6" t="s">
        <v>50</v>
      </c>
      <c r="N13" s="6" t="s">
        <v>50</v>
      </c>
    </row>
    <row r="14" customFormat="false" ht="15" hidden="false" customHeight="false" outlineLevel="0" collapsed="false">
      <c r="A14" s="16"/>
      <c r="B14" s="16" t="s">
        <v>187</v>
      </c>
      <c r="C14" s="16"/>
      <c r="D14" s="16"/>
      <c r="E14" s="16"/>
      <c r="F14" s="16"/>
      <c r="G14" s="17" t="n">
        <f aca="false">SUM(G7:G13)</f>
        <v>325.25</v>
      </c>
      <c r="H14" s="17" t="n">
        <f aca="false">SUM(H7:H13)</f>
        <v>159.25</v>
      </c>
      <c r="I14" s="17" t="n">
        <f aca="false">SUM(I7:I13)</f>
        <v>1244</v>
      </c>
      <c r="J14" s="16"/>
      <c r="K14" s="16"/>
      <c r="L14" s="16"/>
      <c r="M14" s="16"/>
      <c r="N14" s="16"/>
    </row>
  </sheetData>
  <autoFilter ref="A6:N13"/>
  <mergeCells count="4">
    <mergeCell ref="A1:N1"/>
    <mergeCell ref="A2:N2"/>
    <mergeCell ref="A3:N3"/>
    <mergeCell ref="A4:N4"/>
  </mergeCells>
  <hyperlinks>
    <hyperlink ref="N7" r:id="rId1" display="https://github.com/mitodl/edx-sga"/>
    <hyperlink ref="N8" r:id="rId2" display="https://github.com/teachsim-lab/video-rater-xblock"/>
    <hyperlink ref="N10" r:id="rId3" display="https://github.com/mitodl/open-edx-plugins/tree/main/src/rapid_response_xblo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284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285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286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287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22.35" hidden="false" customHeight="false" outlineLevel="0" collapsed="false">
      <c r="A7" s="4" t="s">
        <v>288</v>
      </c>
      <c r="B7" s="6" t="s">
        <v>289</v>
      </c>
      <c r="C7" s="6" t="s">
        <v>290</v>
      </c>
      <c r="D7" s="6" t="s">
        <v>184</v>
      </c>
      <c r="E7" s="4" t="s">
        <v>148</v>
      </c>
      <c r="F7" s="4" t="s">
        <v>291</v>
      </c>
      <c r="G7" s="7" t="n">
        <v>300</v>
      </c>
      <c r="H7" s="7" t="n">
        <v>150</v>
      </c>
      <c r="I7" s="7" t="n">
        <v>250</v>
      </c>
      <c r="J7" s="23" t="n">
        <v>0.4</v>
      </c>
      <c r="K7" s="6" t="s">
        <v>50</v>
      </c>
      <c r="L7" s="6" t="s">
        <v>50</v>
      </c>
      <c r="M7" s="6" t="s">
        <v>186</v>
      </c>
      <c r="N7" s="6" t="s">
        <v>265</v>
      </c>
    </row>
    <row r="8" customFormat="false" ht="43.25" hidden="false" customHeight="false" outlineLevel="0" collapsed="false">
      <c r="A8" s="10" t="s">
        <v>292</v>
      </c>
      <c r="B8" s="12" t="s">
        <v>293</v>
      </c>
      <c r="C8" s="12" t="s">
        <v>294</v>
      </c>
      <c r="D8" s="12" t="s">
        <v>184</v>
      </c>
      <c r="E8" s="10" t="s">
        <v>148</v>
      </c>
      <c r="F8" s="10" t="s">
        <v>295</v>
      </c>
      <c r="G8" s="13" t="n">
        <v>240</v>
      </c>
      <c r="H8" s="13" t="n">
        <v>120</v>
      </c>
      <c r="I8" s="13" t="n">
        <v>500</v>
      </c>
      <c r="J8" s="24" t="n">
        <v>0.76</v>
      </c>
      <c r="K8" s="12" t="s">
        <v>50</v>
      </c>
      <c r="L8" s="12" t="s">
        <v>50</v>
      </c>
      <c r="M8" s="12" t="s">
        <v>186</v>
      </c>
      <c r="N8" s="12" t="s">
        <v>265</v>
      </c>
    </row>
    <row r="9" customFormat="false" ht="32.8" hidden="false" customHeight="false" outlineLevel="0" collapsed="false">
      <c r="A9" s="4" t="s">
        <v>296</v>
      </c>
      <c r="B9" s="6" t="s">
        <v>297</v>
      </c>
      <c r="C9" s="6" t="s">
        <v>298</v>
      </c>
      <c r="D9" s="6" t="s">
        <v>184</v>
      </c>
      <c r="E9" s="4" t="s">
        <v>148</v>
      </c>
      <c r="F9" s="4" t="s">
        <v>273</v>
      </c>
      <c r="G9" s="7" t="n">
        <v>170</v>
      </c>
      <c r="H9" s="7" t="n">
        <v>85</v>
      </c>
      <c r="I9" s="7" t="n">
        <v>150</v>
      </c>
      <c r="J9" s="23" t="n">
        <v>0.433</v>
      </c>
      <c r="K9" s="6" t="s">
        <v>50</v>
      </c>
      <c r="L9" s="6" t="s">
        <v>50</v>
      </c>
      <c r="M9" s="6" t="s">
        <v>186</v>
      </c>
      <c r="N9" s="6" t="s">
        <v>265</v>
      </c>
    </row>
    <row r="10" customFormat="false" ht="22.35" hidden="false" customHeight="false" outlineLevel="0" collapsed="false">
      <c r="A10" s="10" t="s">
        <v>299</v>
      </c>
      <c r="B10" s="12" t="s">
        <v>300</v>
      </c>
      <c r="C10" s="12" t="s">
        <v>301</v>
      </c>
      <c r="D10" s="12" t="s">
        <v>282</v>
      </c>
      <c r="E10" s="10" t="s">
        <v>148</v>
      </c>
      <c r="F10" s="10" t="s">
        <v>221</v>
      </c>
      <c r="G10" s="13" t="n">
        <v>13</v>
      </c>
      <c r="H10" s="13" t="n">
        <v>3</v>
      </c>
      <c r="I10" s="13" t="n">
        <v>40</v>
      </c>
      <c r="J10" s="24" t="n">
        <v>0.925</v>
      </c>
      <c r="K10" s="12" t="s">
        <v>50</v>
      </c>
      <c r="L10" s="12" t="s">
        <v>283</v>
      </c>
      <c r="M10" s="12" t="s">
        <v>50</v>
      </c>
      <c r="N10" s="12" t="s">
        <v>50</v>
      </c>
    </row>
    <row r="11" customFormat="false" ht="15" hidden="false" customHeight="false" outlineLevel="0" collapsed="false">
      <c r="A11" s="16"/>
      <c r="B11" s="16" t="s">
        <v>187</v>
      </c>
      <c r="C11" s="16"/>
      <c r="D11" s="16"/>
      <c r="E11" s="16"/>
      <c r="F11" s="16"/>
      <c r="G11" s="17" t="n">
        <f aca="false">SUM(G7:G10)</f>
        <v>723</v>
      </c>
      <c r="H11" s="17" t="n">
        <f aca="false">SUM(H7:H10)</f>
        <v>358</v>
      </c>
      <c r="I11" s="17" t="n">
        <f aca="false">SUM(I7:I10)</f>
        <v>940</v>
      </c>
      <c r="J11" s="16"/>
      <c r="K11" s="16"/>
      <c r="L11" s="16"/>
      <c r="M11" s="16"/>
      <c r="N11" s="16"/>
    </row>
  </sheetData>
  <autoFilter ref="A6:N10"/>
  <mergeCells count="4">
    <mergeCell ref="A1:N1"/>
    <mergeCell ref="A2:N2"/>
    <mergeCell ref="A3:N3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302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303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304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305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22.35" hidden="false" customHeight="false" outlineLevel="0" collapsed="false">
      <c r="A7" s="4" t="s">
        <v>306</v>
      </c>
      <c r="B7" s="6" t="s">
        <v>307</v>
      </c>
      <c r="C7" s="6" t="s">
        <v>308</v>
      </c>
      <c r="D7" s="6" t="s">
        <v>309</v>
      </c>
      <c r="E7" s="4" t="s">
        <v>148</v>
      </c>
      <c r="F7" s="4" t="s">
        <v>149</v>
      </c>
      <c r="G7" s="7" t="n">
        <v>3</v>
      </c>
      <c r="H7" s="7" t="n">
        <v>1</v>
      </c>
      <c r="I7" s="7" t="n">
        <v>8</v>
      </c>
      <c r="J7" s="23" t="n">
        <v>0.875</v>
      </c>
      <c r="K7" s="6" t="s">
        <v>50</v>
      </c>
      <c r="L7" s="6" t="s">
        <v>50</v>
      </c>
      <c r="M7" s="6" t="s">
        <v>50</v>
      </c>
      <c r="N7" s="6" t="s">
        <v>50</v>
      </c>
    </row>
    <row r="8" customFormat="false" ht="22.35" hidden="false" customHeight="false" outlineLevel="0" collapsed="false">
      <c r="A8" s="10" t="s">
        <v>310</v>
      </c>
      <c r="B8" s="12" t="s">
        <v>311</v>
      </c>
      <c r="C8" s="12" t="s">
        <v>308</v>
      </c>
      <c r="D8" s="12" t="s">
        <v>309</v>
      </c>
      <c r="E8" s="10" t="s">
        <v>148</v>
      </c>
      <c r="F8" s="10" t="s">
        <v>149</v>
      </c>
      <c r="G8" s="13" t="n">
        <v>3</v>
      </c>
      <c r="H8" s="13" t="n">
        <v>1</v>
      </c>
      <c r="I8" s="13" t="n">
        <v>8</v>
      </c>
      <c r="J8" s="24" t="n">
        <v>0.875</v>
      </c>
      <c r="K8" s="12" t="s">
        <v>50</v>
      </c>
      <c r="L8" s="12" t="s">
        <v>50</v>
      </c>
      <c r="M8" s="12" t="s">
        <v>50</v>
      </c>
      <c r="N8" s="12" t="s">
        <v>50</v>
      </c>
    </row>
    <row r="9" customFormat="false" ht="32.8" hidden="false" customHeight="false" outlineLevel="0" collapsed="false">
      <c r="A9" s="4" t="s">
        <v>312</v>
      </c>
      <c r="B9" s="6" t="s">
        <v>313</v>
      </c>
      <c r="C9" s="6" t="s">
        <v>314</v>
      </c>
      <c r="D9" s="6" t="s">
        <v>309</v>
      </c>
      <c r="E9" s="4" t="s">
        <v>148</v>
      </c>
      <c r="F9" s="4" t="s">
        <v>149</v>
      </c>
      <c r="G9" s="7" t="n">
        <v>3</v>
      </c>
      <c r="H9" s="7" t="n">
        <v>1</v>
      </c>
      <c r="I9" s="7" t="n">
        <v>8</v>
      </c>
      <c r="J9" s="23" t="n">
        <v>0.875</v>
      </c>
      <c r="K9" s="6" t="s">
        <v>50</v>
      </c>
      <c r="L9" s="6" t="s">
        <v>50</v>
      </c>
      <c r="M9" s="6" t="s">
        <v>50</v>
      </c>
      <c r="N9" s="6" t="s">
        <v>50</v>
      </c>
    </row>
    <row r="10" customFormat="false" ht="32.8" hidden="false" customHeight="false" outlineLevel="0" collapsed="false">
      <c r="A10" s="10" t="s">
        <v>315</v>
      </c>
      <c r="B10" s="12" t="s">
        <v>316</v>
      </c>
      <c r="C10" s="12" t="s">
        <v>317</v>
      </c>
      <c r="D10" s="12" t="s">
        <v>309</v>
      </c>
      <c r="E10" s="10" t="s">
        <v>148</v>
      </c>
      <c r="F10" s="10" t="s">
        <v>149</v>
      </c>
      <c r="G10" s="13" t="n">
        <v>3</v>
      </c>
      <c r="H10" s="13" t="n">
        <v>1</v>
      </c>
      <c r="I10" s="13" t="n">
        <v>8</v>
      </c>
      <c r="J10" s="24" t="n">
        <v>0.875</v>
      </c>
      <c r="K10" s="12" t="s">
        <v>50</v>
      </c>
      <c r="L10" s="12" t="s">
        <v>50</v>
      </c>
      <c r="M10" s="12" t="s">
        <v>50</v>
      </c>
      <c r="N10" s="12" t="s">
        <v>50</v>
      </c>
    </row>
    <row r="11" customFormat="false" ht="22.35" hidden="false" customHeight="false" outlineLevel="0" collapsed="false">
      <c r="A11" s="4" t="s">
        <v>318</v>
      </c>
      <c r="B11" s="6" t="s">
        <v>319</v>
      </c>
      <c r="C11" s="6" t="s">
        <v>320</v>
      </c>
      <c r="D11" s="6" t="s">
        <v>309</v>
      </c>
      <c r="E11" s="4" t="s">
        <v>148</v>
      </c>
      <c r="F11" s="4" t="s">
        <v>149</v>
      </c>
      <c r="G11" s="7" t="n">
        <v>3</v>
      </c>
      <c r="H11" s="7" t="n">
        <v>1</v>
      </c>
      <c r="I11" s="7" t="n">
        <v>8</v>
      </c>
      <c r="J11" s="23" t="n">
        <v>0.875</v>
      </c>
      <c r="K11" s="6" t="s">
        <v>50</v>
      </c>
      <c r="L11" s="6" t="s">
        <v>50</v>
      </c>
      <c r="M11" s="6" t="s">
        <v>50</v>
      </c>
      <c r="N11" s="6" t="s">
        <v>50</v>
      </c>
    </row>
    <row r="12" customFormat="false" ht="22.35" hidden="false" customHeight="false" outlineLevel="0" collapsed="false">
      <c r="A12" s="10" t="s">
        <v>321</v>
      </c>
      <c r="B12" s="12" t="s">
        <v>322</v>
      </c>
      <c r="C12" s="12" t="s">
        <v>323</v>
      </c>
      <c r="D12" s="12" t="s">
        <v>309</v>
      </c>
      <c r="E12" s="10" t="s">
        <v>148</v>
      </c>
      <c r="F12" s="10" t="s">
        <v>149</v>
      </c>
      <c r="G12" s="13" t="n">
        <v>3</v>
      </c>
      <c r="H12" s="13" t="n">
        <v>1</v>
      </c>
      <c r="I12" s="13" t="n">
        <v>8</v>
      </c>
      <c r="J12" s="24" t="n">
        <v>0.875</v>
      </c>
      <c r="K12" s="12" t="s">
        <v>50</v>
      </c>
      <c r="L12" s="12" t="s">
        <v>50</v>
      </c>
      <c r="M12" s="12" t="s">
        <v>50</v>
      </c>
      <c r="N12" s="12" t="s">
        <v>50</v>
      </c>
    </row>
    <row r="13" customFormat="false" ht="43.25" hidden="false" customHeight="false" outlineLevel="0" collapsed="false">
      <c r="A13" s="4" t="s">
        <v>324</v>
      </c>
      <c r="B13" s="6" t="s">
        <v>325</v>
      </c>
      <c r="C13" s="6" t="s">
        <v>326</v>
      </c>
      <c r="D13" s="6" t="s">
        <v>309</v>
      </c>
      <c r="E13" s="4" t="s">
        <v>148</v>
      </c>
      <c r="F13" s="4" t="s">
        <v>221</v>
      </c>
      <c r="G13" s="7" t="n">
        <v>13</v>
      </c>
      <c r="H13" s="7" t="n">
        <v>3</v>
      </c>
      <c r="I13" s="7" t="n">
        <v>40</v>
      </c>
      <c r="J13" s="23" t="n">
        <v>0.925</v>
      </c>
      <c r="K13" s="6" t="s">
        <v>50</v>
      </c>
      <c r="L13" s="6" t="s">
        <v>50</v>
      </c>
      <c r="M13" s="6" t="s">
        <v>50</v>
      </c>
      <c r="N13" s="6" t="s">
        <v>50</v>
      </c>
    </row>
    <row r="14" customFormat="false" ht="22.35" hidden="false" customHeight="false" outlineLevel="0" collapsed="false">
      <c r="A14" s="10" t="s">
        <v>327</v>
      </c>
      <c r="B14" s="12" t="s">
        <v>328</v>
      </c>
      <c r="C14" s="12" t="s">
        <v>329</v>
      </c>
      <c r="D14" s="12" t="s">
        <v>309</v>
      </c>
      <c r="E14" s="10" t="s">
        <v>148</v>
      </c>
      <c r="F14" s="10" t="s">
        <v>149</v>
      </c>
      <c r="G14" s="13" t="n">
        <v>3</v>
      </c>
      <c r="H14" s="13" t="n">
        <v>1</v>
      </c>
      <c r="I14" s="13" t="n">
        <v>8</v>
      </c>
      <c r="J14" s="24" t="n">
        <v>0.875</v>
      </c>
      <c r="K14" s="12" t="s">
        <v>50</v>
      </c>
      <c r="L14" s="12" t="s">
        <v>50</v>
      </c>
      <c r="M14" s="12" t="s">
        <v>50</v>
      </c>
      <c r="N14" s="12" t="s">
        <v>50</v>
      </c>
    </row>
    <row r="15" customFormat="false" ht="22.35" hidden="false" customHeight="false" outlineLevel="0" collapsed="false">
      <c r="A15" s="4" t="s">
        <v>330</v>
      </c>
      <c r="B15" s="6" t="s">
        <v>331</v>
      </c>
      <c r="C15" s="6" t="s">
        <v>332</v>
      </c>
      <c r="D15" s="6" t="s">
        <v>309</v>
      </c>
      <c r="E15" s="4" t="s">
        <v>148</v>
      </c>
      <c r="F15" s="4" t="s">
        <v>149</v>
      </c>
      <c r="G15" s="7" t="n">
        <v>3</v>
      </c>
      <c r="H15" s="7" t="n">
        <v>1</v>
      </c>
      <c r="I15" s="7" t="n">
        <v>8</v>
      </c>
      <c r="J15" s="23" t="n">
        <v>0.875</v>
      </c>
      <c r="K15" s="6" t="s">
        <v>50</v>
      </c>
      <c r="L15" s="6" t="s">
        <v>50</v>
      </c>
      <c r="M15" s="6" t="s">
        <v>50</v>
      </c>
      <c r="N15" s="6" t="s">
        <v>50</v>
      </c>
    </row>
    <row r="16" customFormat="false" ht="22.35" hidden="false" customHeight="false" outlineLevel="0" collapsed="false">
      <c r="A16" s="10" t="s">
        <v>333</v>
      </c>
      <c r="B16" s="12" t="s">
        <v>334</v>
      </c>
      <c r="C16" s="12" t="s">
        <v>335</v>
      </c>
      <c r="D16" s="12" t="s">
        <v>309</v>
      </c>
      <c r="E16" s="10" t="s">
        <v>148</v>
      </c>
      <c r="F16" s="10" t="s">
        <v>149</v>
      </c>
      <c r="G16" s="13" t="n">
        <v>3</v>
      </c>
      <c r="H16" s="13" t="n">
        <v>1</v>
      </c>
      <c r="I16" s="13" t="n">
        <v>8</v>
      </c>
      <c r="J16" s="24" t="n">
        <v>0.875</v>
      </c>
      <c r="K16" s="12" t="s">
        <v>50</v>
      </c>
      <c r="L16" s="12" t="s">
        <v>50</v>
      </c>
      <c r="M16" s="12" t="s">
        <v>50</v>
      </c>
      <c r="N16" s="12" t="s">
        <v>50</v>
      </c>
    </row>
    <row r="17" customFormat="false" ht="22.35" hidden="false" customHeight="false" outlineLevel="0" collapsed="false">
      <c r="A17" s="4" t="s">
        <v>336</v>
      </c>
      <c r="B17" s="6" t="s">
        <v>337</v>
      </c>
      <c r="C17" s="6" t="s">
        <v>338</v>
      </c>
      <c r="D17" s="6" t="s">
        <v>309</v>
      </c>
      <c r="E17" s="4" t="s">
        <v>148</v>
      </c>
      <c r="F17" s="4" t="s">
        <v>165</v>
      </c>
      <c r="G17" s="7" t="n">
        <v>8</v>
      </c>
      <c r="H17" s="7" t="n">
        <v>2</v>
      </c>
      <c r="I17" s="7" t="n">
        <v>24</v>
      </c>
      <c r="J17" s="23" t="n">
        <v>0.917</v>
      </c>
      <c r="K17" s="6" t="s">
        <v>50</v>
      </c>
      <c r="L17" s="6" t="s">
        <v>339</v>
      </c>
      <c r="M17" s="6" t="s">
        <v>50</v>
      </c>
      <c r="N17" s="6" t="s">
        <v>50</v>
      </c>
    </row>
    <row r="18" customFormat="false" ht="22.35" hidden="false" customHeight="false" outlineLevel="0" collapsed="false">
      <c r="A18" s="10" t="s">
        <v>340</v>
      </c>
      <c r="B18" s="12" t="s">
        <v>341</v>
      </c>
      <c r="C18" s="12" t="s">
        <v>342</v>
      </c>
      <c r="D18" s="12" t="s">
        <v>309</v>
      </c>
      <c r="E18" s="10" t="s">
        <v>148</v>
      </c>
      <c r="F18" s="10" t="s">
        <v>149</v>
      </c>
      <c r="G18" s="13" t="n">
        <v>3</v>
      </c>
      <c r="H18" s="13" t="n">
        <v>1</v>
      </c>
      <c r="I18" s="13" t="n">
        <v>8</v>
      </c>
      <c r="J18" s="24" t="n">
        <v>0.875</v>
      </c>
      <c r="K18" s="12" t="s">
        <v>50</v>
      </c>
      <c r="L18" s="12" t="s">
        <v>50</v>
      </c>
      <c r="M18" s="12" t="s">
        <v>50</v>
      </c>
      <c r="N18" s="12" t="s">
        <v>50</v>
      </c>
    </row>
    <row r="19" customFormat="false" ht="22.35" hidden="false" customHeight="false" outlineLevel="0" collapsed="false">
      <c r="A19" s="4" t="s">
        <v>343</v>
      </c>
      <c r="B19" s="6" t="s">
        <v>344</v>
      </c>
      <c r="C19" s="6" t="s">
        <v>345</v>
      </c>
      <c r="D19" s="6" t="s">
        <v>239</v>
      </c>
      <c r="E19" s="4" t="s">
        <v>148</v>
      </c>
      <c r="F19" s="4" t="s">
        <v>165</v>
      </c>
      <c r="G19" s="7" t="n">
        <v>10</v>
      </c>
      <c r="H19" s="7" t="n">
        <v>2</v>
      </c>
      <c r="I19" s="7" t="n">
        <v>32</v>
      </c>
      <c r="J19" s="23" t="n">
        <v>0.938</v>
      </c>
      <c r="K19" s="6" t="s">
        <v>50</v>
      </c>
      <c r="L19" s="6" t="s">
        <v>346</v>
      </c>
      <c r="M19" s="6" t="s">
        <v>50</v>
      </c>
      <c r="N19" s="6" t="s">
        <v>50</v>
      </c>
    </row>
    <row r="20" customFormat="false" ht="22.35" hidden="false" customHeight="false" outlineLevel="0" collapsed="false">
      <c r="A20" s="10" t="s">
        <v>347</v>
      </c>
      <c r="B20" s="12" t="s">
        <v>348</v>
      </c>
      <c r="C20" s="12" t="s">
        <v>349</v>
      </c>
      <c r="D20" s="12" t="s">
        <v>239</v>
      </c>
      <c r="E20" s="10" t="s">
        <v>148</v>
      </c>
      <c r="F20" s="10" t="s">
        <v>350</v>
      </c>
      <c r="G20" s="13" t="n">
        <v>26</v>
      </c>
      <c r="H20" s="13" t="n">
        <v>6</v>
      </c>
      <c r="I20" s="13" t="n">
        <v>80</v>
      </c>
      <c r="J20" s="24" t="n">
        <v>0.925</v>
      </c>
      <c r="K20" s="12" t="s">
        <v>57</v>
      </c>
      <c r="L20" s="12" t="s">
        <v>351</v>
      </c>
      <c r="M20" s="12" t="s">
        <v>50</v>
      </c>
      <c r="N20" s="12" t="s">
        <v>50</v>
      </c>
    </row>
    <row r="21" customFormat="false" ht="15" hidden="false" customHeight="false" outlineLevel="0" collapsed="false">
      <c r="A21" s="16"/>
      <c r="B21" s="16" t="s">
        <v>187</v>
      </c>
      <c r="C21" s="16"/>
      <c r="D21" s="16"/>
      <c r="E21" s="16"/>
      <c r="F21" s="16"/>
      <c r="G21" s="17" t="n">
        <f aca="false">SUM(G7:G20)</f>
        <v>87</v>
      </c>
      <c r="H21" s="17" t="n">
        <f aca="false">SUM(H7:H20)</f>
        <v>23</v>
      </c>
      <c r="I21" s="17" t="n">
        <f aca="false">SUM(I7:I20)</f>
        <v>256</v>
      </c>
      <c r="J21" s="16"/>
      <c r="K21" s="16"/>
      <c r="L21" s="16"/>
      <c r="M21" s="16"/>
      <c r="N21" s="16"/>
    </row>
  </sheetData>
  <autoFilter ref="A6:N20"/>
  <mergeCells count="4">
    <mergeCell ref="A1:N1"/>
    <mergeCell ref="A2:N2"/>
    <mergeCell ref="A3:N3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352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353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354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355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32.8" hidden="false" customHeight="false" outlineLevel="0" collapsed="false">
      <c r="A7" s="4" t="s">
        <v>356</v>
      </c>
      <c r="B7" s="6" t="s">
        <v>357</v>
      </c>
      <c r="C7" s="6" t="s">
        <v>358</v>
      </c>
      <c r="D7" s="6" t="s">
        <v>359</v>
      </c>
      <c r="E7" s="4" t="s">
        <v>148</v>
      </c>
      <c r="F7" s="4" t="s">
        <v>360</v>
      </c>
      <c r="G7" s="7" t="n">
        <v>16</v>
      </c>
      <c r="H7" s="7"/>
      <c r="I7" s="7" t="n">
        <v>40</v>
      </c>
      <c r="J7" s="23" t="n">
        <v>1</v>
      </c>
      <c r="K7" s="6" t="s">
        <v>50</v>
      </c>
      <c r="L7" s="6" t="s">
        <v>361</v>
      </c>
      <c r="M7" s="6" t="s">
        <v>50</v>
      </c>
      <c r="N7" s="25" t="s">
        <v>362</v>
      </c>
    </row>
    <row r="8" customFormat="false" ht="22.35" hidden="false" customHeight="false" outlineLevel="0" collapsed="false">
      <c r="A8" s="10" t="s">
        <v>363</v>
      </c>
      <c r="B8" s="12" t="s">
        <v>364</v>
      </c>
      <c r="C8" s="12" t="s">
        <v>365</v>
      </c>
      <c r="D8" s="12" t="s">
        <v>184</v>
      </c>
      <c r="E8" s="10" t="s">
        <v>148</v>
      </c>
      <c r="F8" s="10" t="s">
        <v>366</v>
      </c>
      <c r="G8" s="13" t="n">
        <v>80</v>
      </c>
      <c r="H8" s="13" t="n">
        <v>40</v>
      </c>
      <c r="I8" s="13" t="n">
        <v>120</v>
      </c>
      <c r="J8" s="24" t="n">
        <v>0.667</v>
      </c>
      <c r="K8" s="12" t="s">
        <v>50</v>
      </c>
      <c r="L8" s="12" t="s">
        <v>50</v>
      </c>
      <c r="M8" s="12" t="s">
        <v>186</v>
      </c>
      <c r="N8" s="12" t="s">
        <v>265</v>
      </c>
    </row>
    <row r="9" customFormat="false" ht="22.35" hidden="false" customHeight="false" outlineLevel="0" collapsed="false">
      <c r="A9" s="4" t="s">
        <v>367</v>
      </c>
      <c r="B9" s="6" t="s">
        <v>368</v>
      </c>
      <c r="C9" s="6" t="s">
        <v>369</v>
      </c>
      <c r="D9" s="6" t="s">
        <v>201</v>
      </c>
      <c r="E9" s="27" t="s">
        <v>370</v>
      </c>
      <c r="F9" s="4" t="s">
        <v>195</v>
      </c>
      <c r="G9" s="7" t="n">
        <v>80</v>
      </c>
      <c r="H9" s="7" t="n">
        <v>80</v>
      </c>
      <c r="I9" s="7" t="n">
        <v>160</v>
      </c>
      <c r="J9" s="23" t="n">
        <v>0.5</v>
      </c>
      <c r="K9" s="6" t="s">
        <v>50</v>
      </c>
      <c r="L9" s="6" t="s">
        <v>50</v>
      </c>
      <c r="M9" s="6" t="s">
        <v>371</v>
      </c>
      <c r="N9" s="25" t="s">
        <v>372</v>
      </c>
    </row>
    <row r="10" customFormat="false" ht="22.35" hidden="false" customHeight="false" outlineLevel="0" collapsed="false">
      <c r="A10" s="10" t="s">
        <v>373</v>
      </c>
      <c r="B10" s="12" t="s">
        <v>374</v>
      </c>
      <c r="C10" s="12" t="s">
        <v>375</v>
      </c>
      <c r="D10" s="12" t="s">
        <v>184</v>
      </c>
      <c r="E10" s="10" t="s">
        <v>148</v>
      </c>
      <c r="F10" s="10" t="s">
        <v>376</v>
      </c>
      <c r="G10" s="13" t="n">
        <v>100</v>
      </c>
      <c r="H10" s="13" t="n">
        <v>50</v>
      </c>
      <c r="I10" s="13" t="n">
        <v>275</v>
      </c>
      <c r="J10" s="24" t="n">
        <v>0.818</v>
      </c>
      <c r="K10" s="12" t="s">
        <v>50</v>
      </c>
      <c r="L10" s="12" t="s">
        <v>50</v>
      </c>
      <c r="M10" s="12" t="s">
        <v>186</v>
      </c>
      <c r="N10" s="12" t="s">
        <v>265</v>
      </c>
    </row>
    <row r="11" customFormat="false" ht="22.35" hidden="false" customHeight="false" outlineLevel="0" collapsed="false">
      <c r="A11" s="4" t="s">
        <v>377</v>
      </c>
      <c r="B11" s="6" t="s">
        <v>378</v>
      </c>
      <c r="C11" s="6" t="s">
        <v>379</v>
      </c>
      <c r="D11" s="6" t="s">
        <v>184</v>
      </c>
      <c r="E11" s="4" t="s">
        <v>148</v>
      </c>
      <c r="F11" s="4" t="s">
        <v>366</v>
      </c>
      <c r="G11" s="7" t="n">
        <v>80</v>
      </c>
      <c r="H11" s="7" t="n">
        <v>40</v>
      </c>
      <c r="I11" s="7" t="n">
        <v>100</v>
      </c>
      <c r="J11" s="23" t="n">
        <v>0.6</v>
      </c>
      <c r="K11" s="6" t="s">
        <v>50</v>
      </c>
      <c r="L11" s="6" t="s">
        <v>50</v>
      </c>
      <c r="M11" s="6" t="s">
        <v>186</v>
      </c>
      <c r="N11" s="6" t="s">
        <v>265</v>
      </c>
    </row>
    <row r="12" customFormat="false" ht="15" hidden="false" customHeight="false" outlineLevel="0" collapsed="false">
      <c r="A12" s="16"/>
      <c r="B12" s="16" t="s">
        <v>187</v>
      </c>
      <c r="C12" s="16"/>
      <c r="D12" s="16"/>
      <c r="E12" s="16"/>
      <c r="F12" s="16"/>
      <c r="G12" s="17" t="n">
        <f aca="false">SUM(G7:G11)</f>
        <v>356</v>
      </c>
      <c r="H12" s="17" t="n">
        <f aca="false">SUM(H7:H11)</f>
        <v>210</v>
      </c>
      <c r="I12" s="17" t="n">
        <f aca="false">SUM(I7:I11)</f>
        <v>695</v>
      </c>
      <c r="J12" s="16"/>
      <c r="K12" s="16"/>
      <c r="L12" s="16"/>
      <c r="M12" s="16"/>
      <c r="N12" s="16"/>
    </row>
  </sheetData>
  <autoFilter ref="A6:N11"/>
  <mergeCells count="4">
    <mergeCell ref="A1:N1"/>
    <mergeCell ref="A2:N2"/>
    <mergeCell ref="A3:N3"/>
    <mergeCell ref="A4:N4"/>
  </mergeCells>
  <hyperlinks>
    <hyperlink ref="N7" r:id="rId1" display="https://github.com/wikimedia/edx-platform/issues/522"/>
    <hyperlink ref="N9" r:id="rId2" display="https://github.com/mitodl/open-edx-plugins/tree/main/src/ol_openedx_feed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380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381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382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383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22.35" hidden="false" customHeight="false" outlineLevel="0" collapsed="false">
      <c r="A7" s="4" t="s">
        <v>384</v>
      </c>
      <c r="B7" s="6" t="s">
        <v>385</v>
      </c>
      <c r="C7" s="6" t="s">
        <v>386</v>
      </c>
      <c r="D7" s="6" t="s">
        <v>184</v>
      </c>
      <c r="E7" s="27" t="s">
        <v>370</v>
      </c>
      <c r="F7" s="4" t="s">
        <v>360</v>
      </c>
      <c r="G7" s="7"/>
      <c r="H7" s="7"/>
      <c r="I7" s="7" t="n">
        <v>80</v>
      </c>
      <c r="J7" s="4"/>
      <c r="K7" s="6" t="s">
        <v>50</v>
      </c>
      <c r="L7" s="6" t="s">
        <v>50</v>
      </c>
      <c r="M7" s="6" t="s">
        <v>186</v>
      </c>
      <c r="N7" s="25" t="s">
        <v>387</v>
      </c>
    </row>
    <row r="8" customFormat="false" ht="22.35" hidden="false" customHeight="false" outlineLevel="0" collapsed="false">
      <c r="A8" s="10" t="s">
        <v>388</v>
      </c>
      <c r="B8" s="12" t="s">
        <v>389</v>
      </c>
      <c r="C8" s="12" t="s">
        <v>390</v>
      </c>
      <c r="D8" s="12" t="s">
        <v>184</v>
      </c>
      <c r="E8" s="28" t="s">
        <v>370</v>
      </c>
      <c r="F8" s="10" t="s">
        <v>360</v>
      </c>
      <c r="G8" s="13"/>
      <c r="H8" s="13"/>
      <c r="I8" s="13" t="n">
        <v>160</v>
      </c>
      <c r="J8" s="10"/>
      <c r="K8" s="12" t="s">
        <v>50</v>
      </c>
      <c r="L8" s="12" t="s">
        <v>50</v>
      </c>
      <c r="M8" s="12" t="s">
        <v>186</v>
      </c>
      <c r="N8" s="26" t="s">
        <v>387</v>
      </c>
    </row>
    <row r="9" customFormat="false" ht="22.35" hidden="false" customHeight="false" outlineLevel="0" collapsed="false">
      <c r="A9" s="4" t="s">
        <v>391</v>
      </c>
      <c r="B9" s="6" t="s">
        <v>392</v>
      </c>
      <c r="C9" s="6" t="s">
        <v>393</v>
      </c>
      <c r="D9" s="6" t="s">
        <v>184</v>
      </c>
      <c r="E9" s="27" t="s">
        <v>370</v>
      </c>
      <c r="F9" s="4" t="s">
        <v>360</v>
      </c>
      <c r="G9" s="7"/>
      <c r="H9" s="7"/>
      <c r="I9" s="7" t="n">
        <v>180</v>
      </c>
      <c r="J9" s="4"/>
      <c r="K9" s="6" t="s">
        <v>50</v>
      </c>
      <c r="L9" s="6" t="s">
        <v>50</v>
      </c>
      <c r="M9" s="6" t="s">
        <v>186</v>
      </c>
      <c r="N9" s="25" t="s">
        <v>387</v>
      </c>
    </row>
    <row r="10" customFormat="false" ht="22.35" hidden="false" customHeight="false" outlineLevel="0" collapsed="false">
      <c r="A10" s="10" t="s">
        <v>394</v>
      </c>
      <c r="B10" s="12" t="s">
        <v>395</v>
      </c>
      <c r="C10" s="12" t="s">
        <v>396</v>
      </c>
      <c r="D10" s="12" t="s">
        <v>184</v>
      </c>
      <c r="E10" s="28" t="s">
        <v>370</v>
      </c>
      <c r="F10" s="10" t="s">
        <v>360</v>
      </c>
      <c r="G10" s="13"/>
      <c r="H10" s="13"/>
      <c r="I10" s="13" t="n">
        <v>100</v>
      </c>
      <c r="J10" s="10"/>
      <c r="K10" s="12" t="s">
        <v>50</v>
      </c>
      <c r="L10" s="12" t="s">
        <v>50</v>
      </c>
      <c r="M10" s="12" t="s">
        <v>186</v>
      </c>
      <c r="N10" s="26" t="s">
        <v>387</v>
      </c>
    </row>
    <row r="11" customFormat="false" ht="15" hidden="false" customHeight="false" outlineLevel="0" collapsed="false">
      <c r="A11" s="16"/>
      <c r="B11" s="16" t="s">
        <v>187</v>
      </c>
      <c r="C11" s="16"/>
      <c r="D11" s="16"/>
      <c r="E11" s="16"/>
      <c r="F11" s="16"/>
      <c r="G11" s="17" t="n">
        <f aca="false">SUM(G7:G10)</f>
        <v>0</v>
      </c>
      <c r="H11" s="17" t="n">
        <f aca="false">SUM(H7:H10)</f>
        <v>0</v>
      </c>
      <c r="I11" s="17" t="n">
        <f aca="false">SUM(I7:I10)</f>
        <v>520</v>
      </c>
      <c r="J11" s="16"/>
      <c r="K11" s="16"/>
      <c r="L11" s="16"/>
      <c r="M11" s="16"/>
      <c r="N11" s="16"/>
    </row>
  </sheetData>
  <autoFilter ref="A6:N10"/>
  <mergeCells count="4">
    <mergeCell ref="A1:N1"/>
    <mergeCell ref="A2:N2"/>
    <mergeCell ref="A3:N3"/>
    <mergeCell ref="A4:N4"/>
  </mergeCells>
  <hyperlinks>
    <hyperlink ref="N7" r:id="rId1" display="https://github.com/edly-io/tutor-contrib-fbr/tree/master/tutorfbr/templates/fbr/openedx-features-fbr"/>
    <hyperlink ref="N8" r:id="rId2" display="https://github.com/edly-io/tutor-contrib-fbr/tree/master/tutorfbr/templates/fbr/openedx-features-fbr"/>
    <hyperlink ref="N9" r:id="rId3" display="https://github.com/edly-io/tutor-contrib-fbr/tree/master/tutorfbr/templates/fbr/openedx-features-fbr"/>
    <hyperlink ref="N10" r:id="rId4" display="https://github.com/edly-io/tutor-contrib-fbr/tree/master/tutorfbr/templates/fbr/openedx-features-fb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397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398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399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400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43.25" hidden="false" customHeight="false" outlineLevel="0" collapsed="false">
      <c r="A7" s="4" t="s">
        <v>401</v>
      </c>
      <c r="B7" s="6" t="s">
        <v>402</v>
      </c>
      <c r="C7" s="6" t="s">
        <v>403</v>
      </c>
      <c r="D7" s="6" t="s">
        <v>184</v>
      </c>
      <c r="E7" s="4" t="s">
        <v>148</v>
      </c>
      <c r="F7" s="4" t="s">
        <v>404</v>
      </c>
      <c r="G7" s="7" t="n">
        <v>8</v>
      </c>
      <c r="H7" s="7" t="n">
        <v>8</v>
      </c>
      <c r="I7" s="7" t="n">
        <v>200</v>
      </c>
      <c r="J7" s="23" t="n">
        <v>0.96</v>
      </c>
      <c r="K7" s="6" t="s">
        <v>50</v>
      </c>
      <c r="L7" s="6" t="s">
        <v>405</v>
      </c>
      <c r="M7" s="6" t="s">
        <v>406</v>
      </c>
      <c r="N7" s="6" t="s">
        <v>265</v>
      </c>
    </row>
    <row r="8" customFormat="false" ht="22.35" hidden="false" customHeight="false" outlineLevel="0" collapsed="false">
      <c r="A8" s="10" t="s">
        <v>407</v>
      </c>
      <c r="B8" s="12" t="s">
        <v>408</v>
      </c>
      <c r="C8" s="12" t="s">
        <v>409</v>
      </c>
      <c r="D8" s="12" t="s">
        <v>410</v>
      </c>
      <c r="E8" s="10" t="s">
        <v>148</v>
      </c>
      <c r="F8" s="10" t="s">
        <v>411</v>
      </c>
      <c r="G8" s="13" t="n">
        <v>20</v>
      </c>
      <c r="H8" s="13" t="n">
        <v>20</v>
      </c>
      <c r="I8" s="13" t="n">
        <v>320</v>
      </c>
      <c r="J8" s="24" t="n">
        <v>0.938</v>
      </c>
      <c r="K8" s="12" t="s">
        <v>50</v>
      </c>
      <c r="L8" s="12" t="s">
        <v>412</v>
      </c>
      <c r="M8" s="12" t="s">
        <v>50</v>
      </c>
      <c r="N8" s="26" t="s">
        <v>413</v>
      </c>
    </row>
    <row r="9" customFormat="false" ht="22.35" hidden="false" customHeight="false" outlineLevel="0" collapsed="false">
      <c r="A9" s="4" t="s">
        <v>414</v>
      </c>
      <c r="B9" s="6" t="s">
        <v>415</v>
      </c>
      <c r="C9" s="6" t="s">
        <v>416</v>
      </c>
      <c r="D9" s="6" t="s">
        <v>282</v>
      </c>
      <c r="E9" s="4" t="s">
        <v>148</v>
      </c>
      <c r="F9" s="4" t="s">
        <v>172</v>
      </c>
      <c r="G9" s="7" t="n">
        <v>16</v>
      </c>
      <c r="H9" s="7" t="n">
        <v>4</v>
      </c>
      <c r="I9" s="7" t="n">
        <v>40</v>
      </c>
      <c r="J9" s="23" t="n">
        <v>0.9</v>
      </c>
      <c r="K9" s="6" t="s">
        <v>50</v>
      </c>
      <c r="L9" s="6" t="s">
        <v>50</v>
      </c>
      <c r="M9" s="6" t="s">
        <v>417</v>
      </c>
      <c r="N9" s="6" t="s">
        <v>50</v>
      </c>
    </row>
    <row r="10" customFormat="false" ht="15" hidden="false" customHeight="false" outlineLevel="0" collapsed="false">
      <c r="A10" s="16"/>
      <c r="B10" s="16" t="s">
        <v>187</v>
      </c>
      <c r="C10" s="16"/>
      <c r="D10" s="16"/>
      <c r="E10" s="16"/>
      <c r="F10" s="16"/>
      <c r="G10" s="17" t="n">
        <f aca="false">SUM(G7:G9)</f>
        <v>44</v>
      </c>
      <c r="H10" s="17" t="n">
        <f aca="false">SUM(H7:H9)</f>
        <v>32</v>
      </c>
      <c r="I10" s="17" t="n">
        <f aca="false">SUM(I7:I9)</f>
        <v>560</v>
      </c>
      <c r="J10" s="16"/>
      <c r="K10" s="16"/>
      <c r="L10" s="16"/>
      <c r="M10" s="16"/>
      <c r="N10" s="16"/>
    </row>
  </sheetData>
  <autoFilter ref="A6:N9"/>
  <mergeCells count="4">
    <mergeCell ref="A1:N1"/>
    <mergeCell ref="A2:N2"/>
    <mergeCell ref="A3:N3"/>
    <mergeCell ref="A4:N4"/>
  </mergeCells>
  <hyperlinks>
    <hyperlink ref="N8" r:id="rId1" display="https://github.com/mitodl/lehrer/tree/main/deployments/mit-ol/mfe_slot_config/legac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418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419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420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421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22.35" hidden="false" customHeight="false" outlineLevel="0" collapsed="false">
      <c r="A7" s="4" t="s">
        <v>422</v>
      </c>
      <c r="B7" s="6" t="s">
        <v>423</v>
      </c>
      <c r="C7" s="6" t="s">
        <v>424</v>
      </c>
      <c r="D7" s="6" t="s">
        <v>184</v>
      </c>
      <c r="E7" s="4" t="s">
        <v>148</v>
      </c>
      <c r="F7" s="4" t="s">
        <v>425</v>
      </c>
      <c r="G7" s="7" t="n">
        <v>96</v>
      </c>
      <c r="H7" s="7" t="n">
        <v>16</v>
      </c>
      <c r="I7" s="7" t="n">
        <v>420</v>
      </c>
      <c r="J7" s="23" t="n">
        <v>0.962</v>
      </c>
      <c r="K7" s="6" t="s">
        <v>50</v>
      </c>
      <c r="L7" s="6" t="s">
        <v>50</v>
      </c>
      <c r="M7" s="6" t="s">
        <v>186</v>
      </c>
      <c r="N7" s="6" t="s">
        <v>50</v>
      </c>
    </row>
    <row r="8" customFormat="false" ht="32.8" hidden="false" customHeight="false" outlineLevel="0" collapsed="false">
      <c r="A8" s="10" t="s">
        <v>426</v>
      </c>
      <c r="B8" s="12" t="s">
        <v>427</v>
      </c>
      <c r="C8" s="12" t="s">
        <v>428</v>
      </c>
      <c r="D8" s="12" t="s">
        <v>429</v>
      </c>
      <c r="E8" s="10" t="s">
        <v>148</v>
      </c>
      <c r="F8" s="10" t="s">
        <v>404</v>
      </c>
      <c r="G8" s="13" t="n">
        <v>48</v>
      </c>
      <c r="H8" s="13" t="n">
        <v>8</v>
      </c>
      <c r="I8" s="13" t="n">
        <v>200</v>
      </c>
      <c r="J8" s="24" t="n">
        <v>0.96</v>
      </c>
      <c r="K8" s="12" t="s">
        <v>50</v>
      </c>
      <c r="L8" s="12" t="s">
        <v>50</v>
      </c>
      <c r="M8" s="12" t="s">
        <v>50</v>
      </c>
      <c r="N8" s="12" t="s">
        <v>50</v>
      </c>
    </row>
    <row r="9" customFormat="false" ht="22.35" hidden="false" customHeight="false" outlineLevel="0" collapsed="false">
      <c r="A9" s="4" t="s">
        <v>430</v>
      </c>
      <c r="B9" s="6" t="s">
        <v>431</v>
      </c>
      <c r="C9" s="6" t="s">
        <v>432</v>
      </c>
      <c r="D9" s="6" t="s">
        <v>201</v>
      </c>
      <c r="E9" s="4" t="s">
        <v>148</v>
      </c>
      <c r="F9" s="4" t="s">
        <v>404</v>
      </c>
      <c r="G9" s="7" t="n">
        <v>40</v>
      </c>
      <c r="H9" s="7" t="n">
        <v>8</v>
      </c>
      <c r="I9" s="7" t="n">
        <v>80</v>
      </c>
      <c r="J9" s="23" t="n">
        <v>0.9</v>
      </c>
      <c r="K9" s="6" t="s">
        <v>50</v>
      </c>
      <c r="L9" s="6" t="s">
        <v>433</v>
      </c>
      <c r="M9" s="6" t="s">
        <v>50</v>
      </c>
      <c r="N9" s="6" t="s">
        <v>50</v>
      </c>
    </row>
    <row r="10" customFormat="false" ht="22.35" hidden="false" customHeight="false" outlineLevel="0" collapsed="false">
      <c r="A10" s="10" t="s">
        <v>434</v>
      </c>
      <c r="B10" s="12" t="s">
        <v>435</v>
      </c>
      <c r="C10" s="12" t="s">
        <v>436</v>
      </c>
      <c r="D10" s="12" t="s">
        <v>282</v>
      </c>
      <c r="E10" s="10" t="s">
        <v>148</v>
      </c>
      <c r="F10" s="10" t="s">
        <v>165</v>
      </c>
      <c r="G10" s="13" t="n">
        <v>8</v>
      </c>
      <c r="H10" s="13" t="n">
        <v>2</v>
      </c>
      <c r="I10" s="13" t="n">
        <v>24</v>
      </c>
      <c r="J10" s="24" t="n">
        <v>0.917</v>
      </c>
      <c r="K10" s="12" t="s">
        <v>50</v>
      </c>
      <c r="L10" s="12" t="s">
        <v>50</v>
      </c>
      <c r="M10" s="12" t="s">
        <v>50</v>
      </c>
      <c r="N10" s="12" t="s">
        <v>50</v>
      </c>
    </row>
    <row r="11" customFormat="false" ht="22.35" hidden="false" customHeight="false" outlineLevel="0" collapsed="false">
      <c r="A11" s="4" t="s">
        <v>437</v>
      </c>
      <c r="B11" s="6" t="s">
        <v>438</v>
      </c>
      <c r="C11" s="6" t="s">
        <v>439</v>
      </c>
      <c r="D11" s="6" t="s">
        <v>282</v>
      </c>
      <c r="E11" s="4" t="s">
        <v>148</v>
      </c>
      <c r="F11" s="4" t="s">
        <v>350</v>
      </c>
      <c r="G11" s="7" t="n">
        <v>26</v>
      </c>
      <c r="H11" s="7" t="n">
        <v>6</v>
      </c>
      <c r="I11" s="7" t="n">
        <v>80</v>
      </c>
      <c r="J11" s="23" t="n">
        <v>0.925</v>
      </c>
      <c r="K11" s="6" t="s">
        <v>50</v>
      </c>
      <c r="L11" s="6" t="s">
        <v>50</v>
      </c>
      <c r="M11" s="6" t="s">
        <v>50</v>
      </c>
      <c r="N11" s="6" t="s">
        <v>50</v>
      </c>
    </row>
    <row r="12" customFormat="false" ht="15" hidden="false" customHeight="false" outlineLevel="0" collapsed="false">
      <c r="A12" s="16"/>
      <c r="B12" s="16" t="s">
        <v>187</v>
      </c>
      <c r="C12" s="16"/>
      <c r="D12" s="16"/>
      <c r="E12" s="16"/>
      <c r="F12" s="16"/>
      <c r="G12" s="17" t="n">
        <f aca="false">SUM(G7:G11)</f>
        <v>218</v>
      </c>
      <c r="H12" s="17" t="n">
        <f aca="false">SUM(H7:H11)</f>
        <v>40</v>
      </c>
      <c r="I12" s="17" t="n">
        <f aca="false">SUM(I7:I11)</f>
        <v>804</v>
      </c>
      <c r="J12" s="16"/>
      <c r="K12" s="16"/>
      <c r="L12" s="16"/>
      <c r="M12" s="16"/>
      <c r="N12" s="16"/>
    </row>
  </sheetData>
  <autoFilter ref="A6:N11"/>
  <mergeCells count="4">
    <mergeCell ref="A1:N1"/>
    <mergeCell ref="A2:N2"/>
    <mergeCell ref="A3:N3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440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441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442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443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22.35" hidden="false" customHeight="false" outlineLevel="0" collapsed="false">
      <c r="A7" s="4" t="s">
        <v>444</v>
      </c>
      <c r="B7" s="6" t="s">
        <v>445</v>
      </c>
      <c r="C7" s="6" t="s">
        <v>446</v>
      </c>
      <c r="D7" s="6" t="s">
        <v>184</v>
      </c>
      <c r="E7" s="4" t="s">
        <v>148</v>
      </c>
      <c r="F7" s="4" t="s">
        <v>295</v>
      </c>
      <c r="G7" s="7" t="n">
        <v>240</v>
      </c>
      <c r="H7" s="7" t="n">
        <v>120</v>
      </c>
      <c r="I7" s="7" t="n">
        <v>275</v>
      </c>
      <c r="J7" s="23" t="n">
        <v>0.564</v>
      </c>
      <c r="K7" s="6" t="s">
        <v>50</v>
      </c>
      <c r="L7" s="6" t="s">
        <v>50</v>
      </c>
      <c r="M7" s="6" t="s">
        <v>186</v>
      </c>
      <c r="N7" s="6" t="s">
        <v>265</v>
      </c>
    </row>
    <row r="8" customFormat="false" ht="32.8" hidden="false" customHeight="false" outlineLevel="0" collapsed="false">
      <c r="A8" s="10" t="s">
        <v>447</v>
      </c>
      <c r="B8" s="12" t="s">
        <v>448</v>
      </c>
      <c r="C8" s="12" t="s">
        <v>449</v>
      </c>
      <c r="D8" s="12" t="s">
        <v>201</v>
      </c>
      <c r="E8" s="10" t="s">
        <v>148</v>
      </c>
      <c r="F8" s="10" t="s">
        <v>149</v>
      </c>
      <c r="G8" s="13" t="n">
        <v>1</v>
      </c>
      <c r="H8" s="13" t="n">
        <v>1</v>
      </c>
      <c r="I8" s="13" t="n">
        <v>120</v>
      </c>
      <c r="J8" s="24" t="n">
        <v>0.992</v>
      </c>
      <c r="K8" s="12" t="s">
        <v>50</v>
      </c>
      <c r="L8" s="12" t="s">
        <v>450</v>
      </c>
      <c r="M8" s="12" t="s">
        <v>50</v>
      </c>
      <c r="N8" s="26" t="s">
        <v>451</v>
      </c>
    </row>
    <row r="9" customFormat="false" ht="22.35" hidden="false" customHeight="false" outlineLevel="0" collapsed="false">
      <c r="A9" s="4" t="s">
        <v>452</v>
      </c>
      <c r="B9" s="6" t="s">
        <v>453</v>
      </c>
      <c r="C9" s="6" t="s">
        <v>454</v>
      </c>
      <c r="D9" s="6" t="s">
        <v>282</v>
      </c>
      <c r="E9" s="4" t="s">
        <v>148</v>
      </c>
      <c r="F9" s="4" t="s">
        <v>221</v>
      </c>
      <c r="G9" s="7" t="n">
        <v>11</v>
      </c>
      <c r="H9" s="7" t="n">
        <v>3</v>
      </c>
      <c r="I9" s="7" t="n">
        <v>32</v>
      </c>
      <c r="J9" s="23" t="n">
        <v>0.906</v>
      </c>
      <c r="K9" s="6" t="s">
        <v>50</v>
      </c>
      <c r="L9" s="6" t="s">
        <v>50</v>
      </c>
      <c r="M9" s="6" t="s">
        <v>50</v>
      </c>
      <c r="N9" s="6" t="s">
        <v>50</v>
      </c>
    </row>
    <row r="10" customFormat="false" ht="22.35" hidden="false" customHeight="false" outlineLevel="0" collapsed="false">
      <c r="A10" s="10" t="s">
        <v>455</v>
      </c>
      <c r="B10" s="12" t="s">
        <v>456</v>
      </c>
      <c r="C10" s="12" t="s">
        <v>457</v>
      </c>
      <c r="D10" s="12" t="s">
        <v>282</v>
      </c>
      <c r="E10" s="10" t="s">
        <v>148</v>
      </c>
      <c r="F10" s="10" t="s">
        <v>172</v>
      </c>
      <c r="G10" s="13" t="n">
        <v>20</v>
      </c>
      <c r="H10" s="13" t="n">
        <v>4</v>
      </c>
      <c r="I10" s="13" t="n">
        <v>60</v>
      </c>
      <c r="J10" s="24" t="n">
        <v>0.933</v>
      </c>
      <c r="K10" s="12" t="s">
        <v>50</v>
      </c>
      <c r="L10" s="12" t="s">
        <v>50</v>
      </c>
      <c r="M10" s="12" t="s">
        <v>50</v>
      </c>
      <c r="N10" s="12" t="s">
        <v>50</v>
      </c>
    </row>
    <row r="11" customFormat="false" ht="22.35" hidden="false" customHeight="false" outlineLevel="0" collapsed="false">
      <c r="A11" s="4" t="s">
        <v>458</v>
      </c>
      <c r="B11" s="6" t="s">
        <v>459</v>
      </c>
      <c r="C11" s="6" t="s">
        <v>460</v>
      </c>
      <c r="D11" s="6" t="s">
        <v>282</v>
      </c>
      <c r="E11" s="4" t="s">
        <v>148</v>
      </c>
      <c r="F11" s="4" t="s">
        <v>172</v>
      </c>
      <c r="G11" s="7" t="n">
        <v>20</v>
      </c>
      <c r="H11" s="7" t="n">
        <v>4</v>
      </c>
      <c r="I11" s="7" t="n">
        <v>60</v>
      </c>
      <c r="J11" s="23" t="n">
        <v>0.933</v>
      </c>
      <c r="K11" s="6" t="s">
        <v>50</v>
      </c>
      <c r="L11" s="6" t="s">
        <v>50</v>
      </c>
      <c r="M11" s="6" t="s">
        <v>50</v>
      </c>
      <c r="N11" s="6" t="s">
        <v>50</v>
      </c>
    </row>
    <row r="12" customFormat="false" ht="22.35" hidden="false" customHeight="false" outlineLevel="0" collapsed="false">
      <c r="A12" s="10" t="s">
        <v>461</v>
      </c>
      <c r="B12" s="12" t="s">
        <v>462</v>
      </c>
      <c r="C12" s="12" t="s">
        <v>463</v>
      </c>
      <c r="D12" s="12" t="s">
        <v>201</v>
      </c>
      <c r="E12" s="10" t="s">
        <v>148</v>
      </c>
      <c r="F12" s="10" t="s">
        <v>149</v>
      </c>
      <c r="G12" s="13" t="n">
        <v>1</v>
      </c>
      <c r="H12" s="13" t="n">
        <v>1</v>
      </c>
      <c r="I12" s="13" t="n">
        <v>40</v>
      </c>
      <c r="J12" s="24" t="n">
        <v>0.975</v>
      </c>
      <c r="K12" s="12" t="s">
        <v>50</v>
      </c>
      <c r="L12" s="12" t="s">
        <v>50</v>
      </c>
      <c r="M12" s="12" t="s">
        <v>50</v>
      </c>
      <c r="N12" s="26" t="s">
        <v>464</v>
      </c>
    </row>
    <row r="13" customFormat="false" ht="22.35" hidden="false" customHeight="false" outlineLevel="0" collapsed="false">
      <c r="A13" s="4" t="s">
        <v>465</v>
      </c>
      <c r="B13" s="6" t="s">
        <v>466</v>
      </c>
      <c r="C13" s="6" t="s">
        <v>467</v>
      </c>
      <c r="D13" s="6" t="s">
        <v>282</v>
      </c>
      <c r="E13" s="4" t="s">
        <v>148</v>
      </c>
      <c r="F13" s="4" t="s">
        <v>149</v>
      </c>
      <c r="G13" s="7" t="n">
        <v>3</v>
      </c>
      <c r="H13" s="7" t="n">
        <v>1</v>
      </c>
      <c r="I13" s="7" t="n">
        <v>8</v>
      </c>
      <c r="J13" s="23" t="n">
        <v>0.875</v>
      </c>
      <c r="K13" s="6" t="s">
        <v>50</v>
      </c>
      <c r="L13" s="6" t="s">
        <v>50</v>
      </c>
      <c r="M13" s="6" t="s">
        <v>50</v>
      </c>
      <c r="N13" s="6" t="s">
        <v>50</v>
      </c>
    </row>
    <row r="14" customFormat="false" ht="22.35" hidden="false" customHeight="false" outlineLevel="0" collapsed="false">
      <c r="A14" s="10" t="s">
        <v>468</v>
      </c>
      <c r="B14" s="12" t="s">
        <v>469</v>
      </c>
      <c r="C14" s="12" t="s">
        <v>470</v>
      </c>
      <c r="D14" s="12" t="s">
        <v>282</v>
      </c>
      <c r="E14" s="10" t="s">
        <v>148</v>
      </c>
      <c r="F14" s="10" t="s">
        <v>149</v>
      </c>
      <c r="G14" s="13" t="n">
        <v>5</v>
      </c>
      <c r="H14" s="13" t="n">
        <v>1</v>
      </c>
      <c r="I14" s="13" t="n">
        <v>16</v>
      </c>
      <c r="J14" s="24" t="n">
        <v>0.938</v>
      </c>
      <c r="K14" s="12" t="s">
        <v>50</v>
      </c>
      <c r="L14" s="12" t="s">
        <v>50</v>
      </c>
      <c r="M14" s="12" t="s">
        <v>50</v>
      </c>
      <c r="N14" s="12" t="s">
        <v>50</v>
      </c>
    </row>
    <row r="15" customFormat="false" ht="22.35" hidden="false" customHeight="false" outlineLevel="0" collapsed="false">
      <c r="A15" s="4" t="s">
        <v>471</v>
      </c>
      <c r="B15" s="6" t="s">
        <v>472</v>
      </c>
      <c r="C15" s="6" t="s">
        <v>473</v>
      </c>
      <c r="D15" s="6" t="s">
        <v>474</v>
      </c>
      <c r="E15" s="4" t="s">
        <v>148</v>
      </c>
      <c r="F15" s="4" t="s">
        <v>165</v>
      </c>
      <c r="G15" s="7" t="n">
        <v>6</v>
      </c>
      <c r="H15" s="7" t="n">
        <v>2</v>
      </c>
      <c r="I15" s="7" t="n">
        <v>24</v>
      </c>
      <c r="J15" s="23" t="n">
        <v>0.917</v>
      </c>
      <c r="K15" s="6" t="s">
        <v>88</v>
      </c>
      <c r="L15" s="6" t="s">
        <v>475</v>
      </c>
      <c r="M15" s="6" t="s">
        <v>50</v>
      </c>
      <c r="N15" s="6" t="s">
        <v>50</v>
      </c>
    </row>
    <row r="16" customFormat="false" ht="15" hidden="false" customHeight="false" outlineLevel="0" collapsed="false">
      <c r="A16" s="16"/>
      <c r="B16" s="16" t="s">
        <v>187</v>
      </c>
      <c r="C16" s="16"/>
      <c r="D16" s="16"/>
      <c r="E16" s="16"/>
      <c r="F16" s="16"/>
      <c r="G16" s="17" t="n">
        <f aca="false">SUM(G7:G15)</f>
        <v>307</v>
      </c>
      <c r="H16" s="17" t="n">
        <f aca="false">SUM(H7:H15)</f>
        <v>137</v>
      </c>
      <c r="I16" s="17" t="n">
        <f aca="false">SUM(I7:I15)</f>
        <v>635</v>
      </c>
      <c r="J16" s="16"/>
      <c r="K16" s="16"/>
      <c r="L16" s="16"/>
      <c r="M16" s="16"/>
      <c r="N16" s="16"/>
    </row>
  </sheetData>
  <autoFilter ref="A6:N15"/>
  <mergeCells count="4">
    <mergeCell ref="A1:N1"/>
    <mergeCell ref="A2:N2"/>
    <mergeCell ref="A3:N3"/>
    <mergeCell ref="A4:N4"/>
  </mergeCells>
  <hyperlinks>
    <hyperlink ref="N8" r:id="rId1" display="https://github.com/mitodl/open-edx-plugins/tree/main/src/edx_sysadmin"/>
    <hyperlink ref="N12" r:id="rId2" display="https://github.com/mitodl/open-edx-plugins/tree/main/src/edx_username_chang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476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477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478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479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32.8" hidden="false" customHeight="false" outlineLevel="0" collapsed="false">
      <c r="A7" s="4" t="s">
        <v>480</v>
      </c>
      <c r="B7" s="6" t="s">
        <v>481</v>
      </c>
      <c r="C7" s="6" t="s">
        <v>482</v>
      </c>
      <c r="D7" s="6" t="s">
        <v>147</v>
      </c>
      <c r="E7" s="4" t="s">
        <v>148</v>
      </c>
      <c r="F7" s="4" t="s">
        <v>149</v>
      </c>
      <c r="G7" s="7" t="n">
        <v>5</v>
      </c>
      <c r="H7" s="7" t="n">
        <v>1</v>
      </c>
      <c r="I7" s="7" t="n">
        <v>16</v>
      </c>
      <c r="J7" s="23" t="n">
        <v>0.938</v>
      </c>
      <c r="K7" s="6" t="s">
        <v>483</v>
      </c>
      <c r="L7" s="6" t="s">
        <v>484</v>
      </c>
      <c r="M7" s="6" t="s">
        <v>50</v>
      </c>
      <c r="N7" s="6" t="s">
        <v>50</v>
      </c>
    </row>
    <row r="8" customFormat="false" ht="22.35" hidden="false" customHeight="false" outlineLevel="0" collapsed="false">
      <c r="A8" s="10" t="s">
        <v>485</v>
      </c>
      <c r="B8" s="12" t="s">
        <v>486</v>
      </c>
      <c r="C8" s="12" t="s">
        <v>487</v>
      </c>
      <c r="D8" s="12" t="s">
        <v>277</v>
      </c>
      <c r="E8" s="10" t="s">
        <v>148</v>
      </c>
      <c r="F8" s="10" t="s">
        <v>172</v>
      </c>
      <c r="G8" s="13" t="n">
        <v>16</v>
      </c>
      <c r="H8" s="13" t="n">
        <v>4</v>
      </c>
      <c r="I8" s="13" t="n">
        <v>40</v>
      </c>
      <c r="J8" s="24" t="n">
        <v>0.9</v>
      </c>
      <c r="K8" s="12" t="s">
        <v>488</v>
      </c>
      <c r="L8" s="12" t="s">
        <v>489</v>
      </c>
      <c r="M8" s="12" t="s">
        <v>50</v>
      </c>
      <c r="N8" s="12" t="s">
        <v>50</v>
      </c>
    </row>
    <row r="9" customFormat="false" ht="43.25" hidden="false" customHeight="false" outlineLevel="0" collapsed="false">
      <c r="A9" s="4" t="s">
        <v>490</v>
      </c>
      <c r="B9" s="6" t="s">
        <v>491</v>
      </c>
      <c r="C9" s="6" t="s">
        <v>492</v>
      </c>
      <c r="D9" s="6" t="s">
        <v>277</v>
      </c>
      <c r="E9" s="4" t="s">
        <v>148</v>
      </c>
      <c r="F9" s="4" t="s">
        <v>165</v>
      </c>
      <c r="G9" s="7" t="n">
        <v>8</v>
      </c>
      <c r="H9" s="7" t="n">
        <v>2</v>
      </c>
      <c r="I9" s="7" t="n">
        <v>24</v>
      </c>
      <c r="J9" s="23" t="n">
        <v>0.917</v>
      </c>
      <c r="K9" s="6" t="s">
        <v>493</v>
      </c>
      <c r="L9" s="6" t="s">
        <v>494</v>
      </c>
      <c r="M9" s="6" t="s">
        <v>50</v>
      </c>
      <c r="N9" s="6" t="s">
        <v>50</v>
      </c>
    </row>
    <row r="10" customFormat="false" ht="22.35" hidden="false" customHeight="false" outlineLevel="0" collapsed="false">
      <c r="A10" s="10" t="s">
        <v>495</v>
      </c>
      <c r="B10" s="12" t="s">
        <v>496</v>
      </c>
      <c r="C10" s="12" t="s">
        <v>497</v>
      </c>
      <c r="D10" s="12" t="s">
        <v>277</v>
      </c>
      <c r="E10" s="10" t="s">
        <v>148</v>
      </c>
      <c r="F10" s="10" t="s">
        <v>172</v>
      </c>
      <c r="G10" s="13" t="n">
        <v>16</v>
      </c>
      <c r="H10" s="13" t="n">
        <v>4</v>
      </c>
      <c r="I10" s="13" t="n">
        <v>48</v>
      </c>
      <c r="J10" s="24" t="n">
        <v>0.917</v>
      </c>
      <c r="K10" s="12" t="s">
        <v>498</v>
      </c>
      <c r="L10" s="12" t="s">
        <v>499</v>
      </c>
      <c r="M10" s="12" t="s">
        <v>50</v>
      </c>
      <c r="N10" s="12" t="s">
        <v>50</v>
      </c>
    </row>
    <row r="11" customFormat="false" ht="22.35" hidden="false" customHeight="false" outlineLevel="0" collapsed="false">
      <c r="A11" s="4" t="s">
        <v>500</v>
      </c>
      <c r="B11" s="6" t="s">
        <v>501</v>
      </c>
      <c r="C11" s="6" t="s">
        <v>502</v>
      </c>
      <c r="D11" s="6" t="s">
        <v>147</v>
      </c>
      <c r="E11" s="4" t="s">
        <v>148</v>
      </c>
      <c r="F11" s="4" t="s">
        <v>165</v>
      </c>
      <c r="G11" s="7" t="n">
        <v>8</v>
      </c>
      <c r="H11" s="7" t="n">
        <v>2</v>
      </c>
      <c r="I11" s="7" t="n">
        <v>24</v>
      </c>
      <c r="J11" s="23" t="n">
        <v>0.917</v>
      </c>
      <c r="K11" s="6" t="s">
        <v>50</v>
      </c>
      <c r="L11" s="6" t="s">
        <v>50</v>
      </c>
      <c r="M11" s="6" t="s">
        <v>50</v>
      </c>
      <c r="N11" s="6" t="s">
        <v>50</v>
      </c>
    </row>
    <row r="12" customFormat="false" ht="22.35" hidden="false" customHeight="false" outlineLevel="0" collapsed="false">
      <c r="A12" s="10" t="s">
        <v>503</v>
      </c>
      <c r="B12" s="12" t="s">
        <v>504</v>
      </c>
      <c r="C12" s="12" t="s">
        <v>505</v>
      </c>
      <c r="D12" s="12" t="s">
        <v>282</v>
      </c>
      <c r="E12" s="10" t="s">
        <v>148</v>
      </c>
      <c r="F12" s="10" t="s">
        <v>221</v>
      </c>
      <c r="G12" s="13" t="n">
        <v>11</v>
      </c>
      <c r="H12" s="13" t="n">
        <v>3</v>
      </c>
      <c r="I12" s="13" t="n">
        <v>32</v>
      </c>
      <c r="J12" s="24" t="n">
        <v>0.906</v>
      </c>
      <c r="K12" s="12" t="s">
        <v>50</v>
      </c>
      <c r="L12" s="12" t="s">
        <v>50</v>
      </c>
      <c r="M12" s="12" t="s">
        <v>50</v>
      </c>
      <c r="N12" s="12" t="s">
        <v>50</v>
      </c>
    </row>
    <row r="13" customFormat="false" ht="15" hidden="false" customHeight="false" outlineLevel="0" collapsed="false">
      <c r="A13" s="16"/>
      <c r="B13" s="16" t="s">
        <v>187</v>
      </c>
      <c r="C13" s="16"/>
      <c r="D13" s="16"/>
      <c r="E13" s="16"/>
      <c r="F13" s="16"/>
      <c r="G13" s="17" t="n">
        <f aca="false">SUM(G7:G12)</f>
        <v>64</v>
      </c>
      <c r="H13" s="17" t="n">
        <f aca="false">SUM(H7:H12)</f>
        <v>16</v>
      </c>
      <c r="I13" s="17" t="n">
        <f aca="false">SUM(I7:I12)</f>
        <v>184</v>
      </c>
      <c r="J13" s="16"/>
      <c r="K13" s="16"/>
      <c r="L13" s="16"/>
      <c r="M13" s="16"/>
      <c r="N13" s="16"/>
    </row>
  </sheetData>
  <autoFilter ref="A6:N12"/>
  <mergeCells count="4">
    <mergeCell ref="A1:N1"/>
    <mergeCell ref="A2:N2"/>
    <mergeCell ref="A3:N3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506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507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508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509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22.35" hidden="false" customHeight="false" outlineLevel="0" collapsed="false">
      <c r="A7" s="4" t="s">
        <v>510</v>
      </c>
      <c r="B7" s="6" t="s">
        <v>511</v>
      </c>
      <c r="C7" s="6" t="s">
        <v>512</v>
      </c>
      <c r="D7" s="6" t="s">
        <v>513</v>
      </c>
      <c r="E7" s="4" t="s">
        <v>148</v>
      </c>
      <c r="F7" s="4" t="s">
        <v>360</v>
      </c>
      <c r="G7" s="7"/>
      <c r="H7" s="7"/>
      <c r="I7" s="7" t="n">
        <v>80</v>
      </c>
      <c r="J7" s="4"/>
      <c r="K7" s="6" t="s">
        <v>514</v>
      </c>
      <c r="L7" s="6" t="s">
        <v>515</v>
      </c>
      <c r="M7" s="6" t="s">
        <v>50</v>
      </c>
      <c r="N7" s="6" t="s">
        <v>50</v>
      </c>
    </row>
    <row r="8" customFormat="false" ht="15" hidden="false" customHeight="false" outlineLevel="0" collapsed="false">
      <c r="A8" s="10" t="s">
        <v>516</v>
      </c>
      <c r="B8" s="12" t="s">
        <v>517</v>
      </c>
      <c r="C8" s="12" t="s">
        <v>518</v>
      </c>
      <c r="D8" s="12" t="s">
        <v>519</v>
      </c>
      <c r="E8" s="10" t="s">
        <v>148</v>
      </c>
      <c r="F8" s="10" t="s">
        <v>149</v>
      </c>
      <c r="G8" s="13" t="n">
        <v>3</v>
      </c>
      <c r="H8" s="13" t="n">
        <v>1</v>
      </c>
      <c r="I8" s="13" t="n">
        <v>24</v>
      </c>
      <c r="J8" s="10"/>
      <c r="K8" s="12" t="s">
        <v>520</v>
      </c>
      <c r="L8" s="12" t="s">
        <v>521</v>
      </c>
      <c r="M8" s="12" t="s">
        <v>50</v>
      </c>
      <c r="N8" s="12" t="s">
        <v>50</v>
      </c>
    </row>
    <row r="9" customFormat="false" ht="43.25" hidden="false" customHeight="false" outlineLevel="0" collapsed="false">
      <c r="A9" s="4" t="s">
        <v>522</v>
      </c>
      <c r="B9" s="6" t="s">
        <v>523</v>
      </c>
      <c r="C9" s="6" t="s">
        <v>524</v>
      </c>
      <c r="D9" s="6" t="s">
        <v>525</v>
      </c>
      <c r="E9" s="4" t="s">
        <v>148</v>
      </c>
      <c r="F9" s="4" t="s">
        <v>149</v>
      </c>
      <c r="G9" s="7" t="n">
        <v>1</v>
      </c>
      <c r="H9" s="7" t="n">
        <v>1</v>
      </c>
      <c r="I9" s="7" t="n">
        <v>24</v>
      </c>
      <c r="J9" s="23" t="n">
        <v>0.958</v>
      </c>
      <c r="K9" s="6" t="s">
        <v>526</v>
      </c>
      <c r="L9" s="6" t="s">
        <v>527</v>
      </c>
      <c r="M9" s="6" t="s">
        <v>528</v>
      </c>
      <c r="N9" s="25" t="s">
        <v>529</v>
      </c>
    </row>
    <row r="10" customFormat="false" ht="32.8" hidden="false" customHeight="false" outlineLevel="0" collapsed="false">
      <c r="A10" s="10" t="s">
        <v>530</v>
      </c>
      <c r="B10" s="12" t="s">
        <v>531</v>
      </c>
      <c r="C10" s="12" t="s">
        <v>532</v>
      </c>
      <c r="D10" s="12" t="s">
        <v>201</v>
      </c>
      <c r="E10" s="10" t="s">
        <v>148</v>
      </c>
      <c r="F10" s="10" t="s">
        <v>165</v>
      </c>
      <c r="G10" s="13" t="n">
        <v>2</v>
      </c>
      <c r="H10" s="13" t="n">
        <v>2</v>
      </c>
      <c r="I10" s="13" t="n">
        <v>160</v>
      </c>
      <c r="J10" s="24" t="n">
        <v>0.988</v>
      </c>
      <c r="K10" s="12" t="s">
        <v>50</v>
      </c>
      <c r="L10" s="12" t="s">
        <v>533</v>
      </c>
      <c r="M10" s="12" t="s">
        <v>534</v>
      </c>
      <c r="N10" s="26" t="s">
        <v>535</v>
      </c>
    </row>
    <row r="11" customFormat="false" ht="15" hidden="false" customHeight="false" outlineLevel="0" collapsed="false">
      <c r="A11" s="16"/>
      <c r="B11" s="16" t="s">
        <v>187</v>
      </c>
      <c r="C11" s="16"/>
      <c r="D11" s="16"/>
      <c r="E11" s="16"/>
      <c r="F11" s="16"/>
      <c r="G11" s="17" t="n">
        <f aca="false">SUM(G7:G10)</f>
        <v>6</v>
      </c>
      <c r="H11" s="17" t="n">
        <f aca="false">SUM(H7:H10)</f>
        <v>4</v>
      </c>
      <c r="I11" s="17" t="n">
        <f aca="false">SUM(I7:I10)</f>
        <v>288</v>
      </c>
      <c r="J11" s="16"/>
      <c r="K11" s="16"/>
      <c r="L11" s="16"/>
      <c r="M11" s="16"/>
      <c r="N11" s="16"/>
    </row>
  </sheetData>
  <autoFilter ref="A6:N10"/>
  <mergeCells count="4">
    <mergeCell ref="A1:N1"/>
    <mergeCell ref="A2:N2"/>
    <mergeCell ref="A3:N3"/>
    <mergeCell ref="A4:N4"/>
  </mergeCells>
  <hyperlinks>
    <hyperlink ref="N9" r:id="rId1" display="https://github.com/teachsim-lab/oauth-djangoapp"/>
    <hyperlink ref="N10" r:id="rId2" display="https://github.com/mitodl/open-edx-plugins/tree/main/src/ol_social_aut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536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537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538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539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22.35" hidden="false" customHeight="false" outlineLevel="0" collapsed="false">
      <c r="A7" s="4" t="s">
        <v>540</v>
      </c>
      <c r="B7" s="6" t="s">
        <v>541</v>
      </c>
      <c r="C7" s="6" t="s">
        <v>542</v>
      </c>
      <c r="D7" s="6" t="s">
        <v>543</v>
      </c>
      <c r="E7" s="4" t="s">
        <v>148</v>
      </c>
      <c r="F7" s="4" t="s">
        <v>360</v>
      </c>
      <c r="G7" s="7"/>
      <c r="H7" s="7"/>
      <c r="I7" s="7" t="n">
        <v>40</v>
      </c>
      <c r="J7" s="4"/>
      <c r="K7" s="6" t="s">
        <v>526</v>
      </c>
      <c r="L7" s="6" t="s">
        <v>544</v>
      </c>
      <c r="M7" s="6" t="s">
        <v>50</v>
      </c>
      <c r="N7" s="6" t="s">
        <v>50</v>
      </c>
    </row>
    <row r="8" customFormat="false" ht="22.35" hidden="false" customHeight="false" outlineLevel="0" collapsed="false">
      <c r="A8" s="10" t="s">
        <v>545</v>
      </c>
      <c r="B8" s="12" t="s">
        <v>546</v>
      </c>
      <c r="C8" s="12" t="s">
        <v>547</v>
      </c>
      <c r="D8" s="12" t="s">
        <v>147</v>
      </c>
      <c r="E8" s="10" t="s">
        <v>148</v>
      </c>
      <c r="F8" s="10" t="s">
        <v>149</v>
      </c>
      <c r="G8" s="13" t="n">
        <v>3</v>
      </c>
      <c r="H8" s="13" t="n">
        <v>1</v>
      </c>
      <c r="I8" s="13" t="n">
        <v>8</v>
      </c>
      <c r="J8" s="24" t="n">
        <v>0.875</v>
      </c>
      <c r="K8" s="12" t="s">
        <v>526</v>
      </c>
      <c r="L8" s="12" t="s">
        <v>548</v>
      </c>
      <c r="M8" s="12" t="s">
        <v>50</v>
      </c>
      <c r="N8" s="12" t="s">
        <v>50</v>
      </c>
    </row>
    <row r="9" customFormat="false" ht="22.35" hidden="false" customHeight="false" outlineLevel="0" collapsed="false">
      <c r="A9" s="4" t="s">
        <v>549</v>
      </c>
      <c r="B9" s="6" t="s">
        <v>550</v>
      </c>
      <c r="C9" s="6" t="s">
        <v>551</v>
      </c>
      <c r="D9" s="6" t="s">
        <v>147</v>
      </c>
      <c r="E9" s="4" t="s">
        <v>148</v>
      </c>
      <c r="F9" s="4" t="s">
        <v>149</v>
      </c>
      <c r="G9" s="7" t="n">
        <v>3</v>
      </c>
      <c r="H9" s="7" t="n">
        <v>1</v>
      </c>
      <c r="I9" s="7" t="n">
        <v>8</v>
      </c>
      <c r="J9" s="23" t="n">
        <v>0.875</v>
      </c>
      <c r="K9" s="6" t="s">
        <v>552</v>
      </c>
      <c r="L9" s="6" t="s">
        <v>553</v>
      </c>
      <c r="M9" s="6" t="s">
        <v>50</v>
      </c>
      <c r="N9" s="6" t="s">
        <v>50</v>
      </c>
    </row>
    <row r="10" customFormat="false" ht="53.7" hidden="false" customHeight="false" outlineLevel="0" collapsed="false">
      <c r="A10" s="10" t="s">
        <v>554</v>
      </c>
      <c r="B10" s="12" t="s">
        <v>555</v>
      </c>
      <c r="C10" s="12" t="s">
        <v>556</v>
      </c>
      <c r="D10" s="12" t="s">
        <v>147</v>
      </c>
      <c r="E10" s="10" t="s">
        <v>148</v>
      </c>
      <c r="F10" s="10" t="s">
        <v>149</v>
      </c>
      <c r="G10" s="13" t="n">
        <v>5</v>
      </c>
      <c r="H10" s="13" t="n">
        <v>1</v>
      </c>
      <c r="I10" s="13" t="n">
        <v>16</v>
      </c>
      <c r="J10" s="24" t="n">
        <v>0.938</v>
      </c>
      <c r="K10" s="12" t="s">
        <v>557</v>
      </c>
      <c r="L10" s="12" t="s">
        <v>558</v>
      </c>
      <c r="M10" s="12" t="s">
        <v>50</v>
      </c>
      <c r="N10" s="12" t="s">
        <v>50</v>
      </c>
    </row>
    <row r="11" customFormat="false" ht="15" hidden="false" customHeight="false" outlineLevel="0" collapsed="false">
      <c r="A11" s="16"/>
      <c r="B11" s="16" t="s">
        <v>187</v>
      </c>
      <c r="C11" s="16"/>
      <c r="D11" s="16"/>
      <c r="E11" s="16"/>
      <c r="F11" s="16"/>
      <c r="G11" s="17" t="n">
        <f aca="false">SUM(G7:G10)</f>
        <v>11</v>
      </c>
      <c r="H11" s="17" t="n">
        <f aca="false">SUM(H7:H10)</f>
        <v>3</v>
      </c>
      <c r="I11" s="17" t="n">
        <f aca="false">SUM(I7:I10)</f>
        <v>72</v>
      </c>
      <c r="J11" s="16"/>
      <c r="K11" s="16"/>
      <c r="L11" s="16"/>
      <c r="M11" s="16"/>
      <c r="N11" s="16"/>
    </row>
  </sheetData>
  <autoFilter ref="A6:N10"/>
  <mergeCells count="4">
    <mergeCell ref="A1:N1"/>
    <mergeCell ref="A2:N2"/>
    <mergeCell ref="A3:N3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28"/>
    <col collapsed="false" customWidth="true" hidden="false" outlineLevel="0" max="13" min="13" style="0" width="46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21" t="s">
        <v>559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4" hidden="false" customHeight="true" outlineLevel="0" collapsed="false">
      <c r="A2" s="20" t="s">
        <v>560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3.5" hidden="false" customHeight="true" outlineLevel="0" collapsed="false">
      <c r="A3" s="22" t="s">
        <v>561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3.5" hidden="false" customHeight="true" outlineLevel="0" collapsed="false">
      <c r="A4" s="22" t="s">
        <v>562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customFormat="false" ht="30" hidden="false" customHeight="true" outlineLevel="0" collapsed="false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137</v>
      </c>
      <c r="I6" s="3" t="s">
        <v>138</v>
      </c>
      <c r="J6" s="3" t="s">
        <v>139</v>
      </c>
      <c r="K6" s="3" t="s">
        <v>140</v>
      </c>
      <c r="L6" s="3" t="s">
        <v>141</v>
      </c>
      <c r="M6" s="3" t="s">
        <v>142</v>
      </c>
      <c r="N6" s="3" t="s">
        <v>143</v>
      </c>
    </row>
    <row r="7" customFormat="false" ht="53.7" hidden="false" customHeight="false" outlineLevel="0" collapsed="false">
      <c r="A7" s="4" t="s">
        <v>563</v>
      </c>
      <c r="B7" s="6" t="s">
        <v>564</v>
      </c>
      <c r="C7" s="6" t="s">
        <v>565</v>
      </c>
      <c r="D7" s="6" t="s">
        <v>201</v>
      </c>
      <c r="E7" s="4" t="s">
        <v>148</v>
      </c>
      <c r="F7" s="4" t="s">
        <v>221</v>
      </c>
      <c r="G7" s="7" t="n">
        <v>3</v>
      </c>
      <c r="H7" s="7" t="n">
        <v>3</v>
      </c>
      <c r="I7" s="7" t="n">
        <v>60</v>
      </c>
      <c r="J7" s="23" t="n">
        <v>0.95</v>
      </c>
      <c r="K7" s="6" t="s">
        <v>566</v>
      </c>
      <c r="L7" s="6" t="s">
        <v>567</v>
      </c>
      <c r="M7" s="6" t="s">
        <v>50</v>
      </c>
      <c r="N7" s="25" t="s">
        <v>568</v>
      </c>
    </row>
    <row r="8" customFormat="false" ht="22.35" hidden="false" customHeight="false" outlineLevel="0" collapsed="false">
      <c r="A8" s="10" t="s">
        <v>569</v>
      </c>
      <c r="B8" s="12" t="s">
        <v>570</v>
      </c>
      <c r="C8" s="12" t="s">
        <v>571</v>
      </c>
      <c r="D8" s="12" t="s">
        <v>201</v>
      </c>
      <c r="E8" s="10" t="s">
        <v>148</v>
      </c>
      <c r="F8" s="10" t="s">
        <v>221</v>
      </c>
      <c r="G8" s="13" t="n">
        <v>3</v>
      </c>
      <c r="H8" s="13" t="n">
        <v>3</v>
      </c>
      <c r="I8" s="13" t="n">
        <v>240</v>
      </c>
      <c r="J8" s="24" t="n">
        <v>0.988</v>
      </c>
      <c r="K8" s="12" t="s">
        <v>572</v>
      </c>
      <c r="L8" s="12" t="s">
        <v>573</v>
      </c>
      <c r="M8" s="12" t="s">
        <v>50</v>
      </c>
      <c r="N8" s="26" t="s">
        <v>574</v>
      </c>
    </row>
    <row r="9" customFormat="false" ht="22.35" hidden="false" customHeight="false" outlineLevel="0" collapsed="false">
      <c r="A9" s="4" t="s">
        <v>575</v>
      </c>
      <c r="B9" s="6" t="s">
        <v>576</v>
      </c>
      <c r="C9" s="6" t="s">
        <v>577</v>
      </c>
      <c r="D9" s="6" t="s">
        <v>201</v>
      </c>
      <c r="E9" s="4" t="s">
        <v>148</v>
      </c>
      <c r="F9" s="4" t="s">
        <v>149</v>
      </c>
      <c r="G9" s="7" t="n">
        <v>1</v>
      </c>
      <c r="H9" s="7" t="n">
        <v>1</v>
      </c>
      <c r="I9" s="7" t="n">
        <v>60</v>
      </c>
      <c r="J9" s="23" t="n">
        <v>0.983</v>
      </c>
      <c r="K9" s="6" t="s">
        <v>578</v>
      </c>
      <c r="L9" s="6" t="s">
        <v>579</v>
      </c>
      <c r="M9" s="6" t="s">
        <v>50</v>
      </c>
      <c r="N9" s="25" t="s">
        <v>580</v>
      </c>
    </row>
    <row r="10" customFormat="false" ht="22.35" hidden="false" customHeight="false" outlineLevel="0" collapsed="false">
      <c r="A10" s="10" t="s">
        <v>581</v>
      </c>
      <c r="B10" s="12" t="s">
        <v>582</v>
      </c>
      <c r="C10" s="12" t="s">
        <v>583</v>
      </c>
      <c r="D10" s="12" t="s">
        <v>201</v>
      </c>
      <c r="E10" s="10" t="s">
        <v>148</v>
      </c>
      <c r="F10" s="10" t="s">
        <v>149</v>
      </c>
      <c r="G10" s="13" t="n">
        <v>1</v>
      </c>
      <c r="H10" s="13" t="n">
        <v>1</v>
      </c>
      <c r="I10" s="13" t="n">
        <v>120</v>
      </c>
      <c r="J10" s="24" t="n">
        <v>0.992</v>
      </c>
      <c r="K10" s="12" t="s">
        <v>50</v>
      </c>
      <c r="L10" s="12" t="s">
        <v>50</v>
      </c>
      <c r="M10" s="12" t="s">
        <v>50</v>
      </c>
      <c r="N10" s="26" t="s">
        <v>584</v>
      </c>
    </row>
    <row r="11" customFormat="false" ht="22.35" hidden="false" customHeight="false" outlineLevel="0" collapsed="false">
      <c r="A11" s="4" t="s">
        <v>585</v>
      </c>
      <c r="B11" s="6" t="s">
        <v>586</v>
      </c>
      <c r="C11" s="6" t="s">
        <v>587</v>
      </c>
      <c r="D11" s="6" t="s">
        <v>588</v>
      </c>
      <c r="E11" s="4" t="s">
        <v>148</v>
      </c>
      <c r="F11" s="4" t="s">
        <v>149</v>
      </c>
      <c r="G11" s="7" t="n">
        <v>5</v>
      </c>
      <c r="H11" s="7" t="n">
        <v>1</v>
      </c>
      <c r="I11" s="7" t="n">
        <v>40</v>
      </c>
      <c r="J11" s="23" t="n">
        <v>0.975</v>
      </c>
      <c r="K11" s="6" t="s">
        <v>50</v>
      </c>
      <c r="L11" s="6" t="s">
        <v>589</v>
      </c>
      <c r="M11" s="6" t="s">
        <v>50</v>
      </c>
      <c r="N11" s="6" t="s">
        <v>265</v>
      </c>
    </row>
    <row r="12" customFormat="false" ht="22.35" hidden="false" customHeight="false" outlineLevel="0" collapsed="false">
      <c r="A12" s="10" t="s">
        <v>590</v>
      </c>
      <c r="B12" s="12" t="s">
        <v>591</v>
      </c>
      <c r="C12" s="12" t="s">
        <v>592</v>
      </c>
      <c r="D12" s="12" t="s">
        <v>201</v>
      </c>
      <c r="E12" s="10" t="s">
        <v>148</v>
      </c>
      <c r="F12" s="10" t="s">
        <v>149</v>
      </c>
      <c r="G12" s="13" t="n">
        <v>1</v>
      </c>
      <c r="H12" s="13" t="n">
        <v>1</v>
      </c>
      <c r="I12" s="13" t="n">
        <v>240</v>
      </c>
      <c r="J12" s="24" t="n">
        <v>0.996</v>
      </c>
      <c r="K12" s="12" t="s">
        <v>50</v>
      </c>
      <c r="L12" s="12" t="s">
        <v>593</v>
      </c>
      <c r="M12" s="12" t="s">
        <v>50</v>
      </c>
      <c r="N12" s="26" t="s">
        <v>594</v>
      </c>
    </row>
    <row r="13" customFormat="false" ht="22.35" hidden="false" customHeight="false" outlineLevel="0" collapsed="false">
      <c r="A13" s="4" t="s">
        <v>595</v>
      </c>
      <c r="B13" s="6" t="s">
        <v>596</v>
      </c>
      <c r="C13" s="6" t="s">
        <v>597</v>
      </c>
      <c r="D13" s="6" t="s">
        <v>201</v>
      </c>
      <c r="E13" s="4" t="s">
        <v>148</v>
      </c>
      <c r="F13" s="4" t="s">
        <v>172</v>
      </c>
      <c r="G13" s="7" t="n">
        <v>4</v>
      </c>
      <c r="H13" s="7" t="n">
        <v>4</v>
      </c>
      <c r="I13" s="7" t="n">
        <v>160</v>
      </c>
      <c r="J13" s="23" t="n">
        <v>0.975</v>
      </c>
      <c r="K13" s="6" t="s">
        <v>598</v>
      </c>
      <c r="L13" s="6" t="s">
        <v>599</v>
      </c>
      <c r="M13" s="6" t="s">
        <v>50</v>
      </c>
      <c r="N13" s="25" t="s">
        <v>600</v>
      </c>
    </row>
    <row r="14" customFormat="false" ht="22.35" hidden="false" customHeight="false" outlineLevel="0" collapsed="false">
      <c r="A14" s="10" t="s">
        <v>601</v>
      </c>
      <c r="B14" s="12" t="s">
        <v>602</v>
      </c>
      <c r="C14" s="12" t="s">
        <v>603</v>
      </c>
      <c r="D14" s="12" t="s">
        <v>277</v>
      </c>
      <c r="E14" s="10" t="s">
        <v>148</v>
      </c>
      <c r="F14" s="10" t="s">
        <v>172</v>
      </c>
      <c r="G14" s="13" t="n">
        <v>16</v>
      </c>
      <c r="H14" s="13" t="n">
        <v>4</v>
      </c>
      <c r="I14" s="13" t="n">
        <v>48</v>
      </c>
      <c r="J14" s="24" t="n">
        <v>0.917</v>
      </c>
      <c r="K14" s="12" t="s">
        <v>50</v>
      </c>
      <c r="L14" s="12" t="s">
        <v>604</v>
      </c>
      <c r="M14" s="12" t="s">
        <v>50</v>
      </c>
      <c r="N14" s="12" t="s">
        <v>50</v>
      </c>
    </row>
    <row r="15" customFormat="false" ht="15" hidden="false" customHeight="false" outlineLevel="0" collapsed="false">
      <c r="A15" s="16"/>
      <c r="B15" s="16" t="s">
        <v>187</v>
      </c>
      <c r="C15" s="16"/>
      <c r="D15" s="16"/>
      <c r="E15" s="16"/>
      <c r="F15" s="16"/>
      <c r="G15" s="17" t="n">
        <f aca="false">SUM(G7:G14)</f>
        <v>34</v>
      </c>
      <c r="H15" s="17" t="n">
        <f aca="false">SUM(H7:H14)</f>
        <v>18</v>
      </c>
      <c r="I15" s="17" t="n">
        <f aca="false">SUM(I7:I14)</f>
        <v>968</v>
      </c>
      <c r="J15" s="16"/>
      <c r="K15" s="16"/>
      <c r="L15" s="16"/>
      <c r="M15" s="16"/>
      <c r="N15" s="16"/>
    </row>
  </sheetData>
  <autoFilter ref="A6:N14"/>
  <mergeCells count="4">
    <mergeCell ref="A1:N1"/>
    <mergeCell ref="A2:N2"/>
    <mergeCell ref="A3:N3"/>
    <mergeCell ref="A4:N4"/>
  </mergeCells>
  <hyperlinks>
    <hyperlink ref="N7" r:id="rId1" display="https://github.com/mitodl/open-edx-plugins/tree/main/src/ol_openedx_sentry"/>
    <hyperlink ref="N8" r:id="rId2" display="https://github.com/mitodl/open-edx-plugins/tree/main/src/ol_openedx_git_auto_export"/>
    <hyperlink ref="N9" r:id="rId3" display="https://github.com/mitodl/open-edx-plugins/tree/main/src/ol_openedx_course_export"/>
    <hyperlink ref="N10" r:id="rId4" display="https://github.com/mitodl/open-edx-plugins/tree/main/src/ol_openedx_course_sync"/>
    <hyperlink ref="N12" r:id="rId5" display="https://github.com/mitodl/edx-api-client/"/>
    <hyperlink ref="N13" r:id="rId6" display="https://github.com/mitodl/open-edx-plugins/tree/main/src/ol_openedx_canvas_integra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A8A"/>
    <pageSetUpPr fitToPage="false"/>
  </sheetPr>
  <dimension ref="A1:N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6" min="5" style="0" width="16"/>
    <col collapsed="false" customWidth="true" hidden="false" outlineLevel="0" max="7" min="7" style="0" width="13"/>
    <col collapsed="false" customWidth="true" hidden="false" outlineLevel="0" max="8" min="8" style="0" width="52"/>
    <col collapsed="false" customWidth="true" hidden="false" outlineLevel="0" max="11" min="9" style="0" width="11"/>
    <col collapsed="false" customWidth="true" hidden="false" outlineLevel="0" max="12" min="12" style="0" width="15"/>
    <col collapsed="false" customWidth="true" hidden="false" outlineLevel="0" max="13" min="13" style="0" width="22"/>
    <col collapsed="false" customWidth="true" hidden="false" outlineLevel="0" max="14" min="14" style="0" width="34"/>
  </cols>
  <sheetData>
    <row r="1" customFormat="false" ht="24" hidden="false" customHeight="true" outlineLevel="0" collapsed="false">
      <c r="A1" s="29" t="s">
        <v>605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130</v>
      </c>
      <c r="D3" s="3" t="s">
        <v>131</v>
      </c>
      <c r="E3" s="3" t="s">
        <v>606</v>
      </c>
      <c r="F3" s="3" t="s">
        <v>607</v>
      </c>
      <c r="G3" s="3" t="s">
        <v>134</v>
      </c>
      <c r="H3" s="3" t="s">
        <v>132</v>
      </c>
      <c r="I3" s="3" t="s">
        <v>136</v>
      </c>
      <c r="J3" s="3" t="s">
        <v>137</v>
      </c>
      <c r="K3" s="3" t="s">
        <v>138</v>
      </c>
      <c r="L3" s="3" t="s">
        <v>135</v>
      </c>
      <c r="M3" s="3" t="s">
        <v>608</v>
      </c>
      <c r="N3" s="3" t="s">
        <v>143</v>
      </c>
    </row>
    <row r="4" customFormat="false" ht="15" hidden="false" customHeight="false" outlineLevel="0" collapsed="false">
      <c r="A4" s="4" t="s">
        <v>17</v>
      </c>
      <c r="B4" s="6" t="s">
        <v>18</v>
      </c>
      <c r="C4" s="4" t="s">
        <v>144</v>
      </c>
      <c r="D4" s="6" t="s">
        <v>145</v>
      </c>
      <c r="E4" s="6" t="s">
        <v>609</v>
      </c>
      <c r="F4" s="6" t="s">
        <v>610</v>
      </c>
      <c r="G4" s="4" t="s">
        <v>148</v>
      </c>
      <c r="H4" s="6" t="s">
        <v>146</v>
      </c>
      <c r="I4" s="7" t="n">
        <v>5</v>
      </c>
      <c r="J4" s="7" t="n">
        <v>1</v>
      </c>
      <c r="K4" s="7" t="n">
        <v>16</v>
      </c>
      <c r="L4" s="4" t="s">
        <v>149</v>
      </c>
      <c r="M4" s="6" t="s">
        <v>150</v>
      </c>
      <c r="N4" s="6" t="s">
        <v>50</v>
      </c>
    </row>
    <row r="5" customFormat="false" ht="15" hidden="false" customHeight="false" outlineLevel="0" collapsed="false">
      <c r="A5" s="4" t="s">
        <v>17</v>
      </c>
      <c r="B5" s="6" t="s">
        <v>18</v>
      </c>
      <c r="C5" s="4" t="s">
        <v>152</v>
      </c>
      <c r="D5" s="6" t="s">
        <v>153</v>
      </c>
      <c r="E5" s="6" t="s">
        <v>609</v>
      </c>
      <c r="F5" s="6" t="s">
        <v>610</v>
      </c>
      <c r="G5" s="4" t="s">
        <v>148</v>
      </c>
      <c r="H5" s="6" t="s">
        <v>154</v>
      </c>
      <c r="I5" s="7" t="n">
        <v>5</v>
      </c>
      <c r="J5" s="7" t="n">
        <v>1</v>
      </c>
      <c r="K5" s="7" t="n">
        <v>16</v>
      </c>
      <c r="L5" s="4" t="s">
        <v>149</v>
      </c>
      <c r="M5" s="6" t="s">
        <v>155</v>
      </c>
      <c r="N5" s="6" t="s">
        <v>50</v>
      </c>
    </row>
    <row r="6" customFormat="false" ht="15" hidden="false" customHeight="false" outlineLevel="0" collapsed="false">
      <c r="A6" s="4" t="s">
        <v>17</v>
      </c>
      <c r="B6" s="6" t="s">
        <v>18</v>
      </c>
      <c r="C6" s="4" t="s">
        <v>157</v>
      </c>
      <c r="D6" s="6" t="s">
        <v>158</v>
      </c>
      <c r="E6" s="6" t="s">
        <v>609</v>
      </c>
      <c r="F6" s="6" t="s">
        <v>610</v>
      </c>
      <c r="G6" s="4" t="s">
        <v>148</v>
      </c>
      <c r="H6" s="6" t="s">
        <v>159</v>
      </c>
      <c r="I6" s="7" t="n">
        <v>5</v>
      </c>
      <c r="J6" s="7" t="n">
        <v>1</v>
      </c>
      <c r="K6" s="7" t="n">
        <v>16</v>
      </c>
      <c r="L6" s="4" t="s">
        <v>149</v>
      </c>
      <c r="M6" s="6" t="s">
        <v>160</v>
      </c>
      <c r="N6" s="6" t="s">
        <v>50</v>
      </c>
    </row>
    <row r="7" customFormat="false" ht="15" hidden="false" customHeight="false" outlineLevel="0" collapsed="false">
      <c r="A7" s="4" t="s">
        <v>17</v>
      </c>
      <c r="B7" s="6" t="s">
        <v>18</v>
      </c>
      <c r="C7" s="4" t="s">
        <v>162</v>
      </c>
      <c r="D7" s="6" t="s">
        <v>163</v>
      </c>
      <c r="E7" s="6" t="s">
        <v>609</v>
      </c>
      <c r="F7" s="6" t="s">
        <v>610</v>
      </c>
      <c r="G7" s="4" t="s">
        <v>148</v>
      </c>
      <c r="H7" s="6" t="s">
        <v>164</v>
      </c>
      <c r="I7" s="7" t="n">
        <v>8</v>
      </c>
      <c r="J7" s="7" t="n">
        <v>2</v>
      </c>
      <c r="K7" s="7" t="n">
        <v>20</v>
      </c>
      <c r="L7" s="4" t="s">
        <v>165</v>
      </c>
      <c r="M7" s="6" t="s">
        <v>166</v>
      </c>
      <c r="N7" s="6" t="s">
        <v>50</v>
      </c>
    </row>
    <row r="8" customFormat="false" ht="22.35" hidden="false" customHeight="false" outlineLevel="0" collapsed="false">
      <c r="A8" s="4" t="s">
        <v>17</v>
      </c>
      <c r="B8" s="6" t="s">
        <v>18</v>
      </c>
      <c r="C8" s="4" t="s">
        <v>168</v>
      </c>
      <c r="D8" s="6" t="s">
        <v>169</v>
      </c>
      <c r="E8" s="6" t="s">
        <v>609</v>
      </c>
      <c r="F8" s="6" t="s">
        <v>611</v>
      </c>
      <c r="G8" s="4" t="s">
        <v>148</v>
      </c>
      <c r="H8" s="6" t="s">
        <v>170</v>
      </c>
      <c r="I8" s="7" t="n">
        <v>20</v>
      </c>
      <c r="J8" s="7" t="n">
        <v>4</v>
      </c>
      <c r="K8" s="7" t="n">
        <v>60</v>
      </c>
      <c r="L8" s="4" t="s">
        <v>172</v>
      </c>
      <c r="M8" s="6" t="s">
        <v>173</v>
      </c>
      <c r="N8" s="6" t="s">
        <v>50</v>
      </c>
    </row>
    <row r="9" customFormat="false" ht="22.35" hidden="false" customHeight="false" outlineLevel="0" collapsed="false">
      <c r="A9" s="4" t="s">
        <v>17</v>
      </c>
      <c r="B9" s="6" t="s">
        <v>18</v>
      </c>
      <c r="C9" s="4" t="s">
        <v>175</v>
      </c>
      <c r="D9" s="6" t="s">
        <v>176</v>
      </c>
      <c r="E9" s="6" t="s">
        <v>609</v>
      </c>
      <c r="F9" s="6" t="s">
        <v>610</v>
      </c>
      <c r="G9" s="4" t="s">
        <v>148</v>
      </c>
      <c r="H9" s="6" t="s">
        <v>177</v>
      </c>
      <c r="I9" s="7" t="n">
        <v>10</v>
      </c>
      <c r="J9" s="7" t="n">
        <v>2</v>
      </c>
      <c r="K9" s="7" t="n">
        <v>24</v>
      </c>
      <c r="L9" s="4" t="s">
        <v>165</v>
      </c>
      <c r="M9" s="6" t="s">
        <v>178</v>
      </c>
      <c r="N9" s="6" t="s">
        <v>50</v>
      </c>
    </row>
    <row r="10" customFormat="false" ht="22.35" hidden="false" customHeight="false" outlineLevel="0" collapsed="false">
      <c r="A10" s="4" t="s">
        <v>17</v>
      </c>
      <c r="B10" s="6" t="s">
        <v>18</v>
      </c>
      <c r="C10" s="4" t="s">
        <v>181</v>
      </c>
      <c r="D10" s="6" t="s">
        <v>182</v>
      </c>
      <c r="E10" s="6" t="s">
        <v>184</v>
      </c>
      <c r="F10" s="6" t="s">
        <v>184</v>
      </c>
      <c r="G10" s="4" t="s">
        <v>148</v>
      </c>
      <c r="H10" s="6" t="s">
        <v>183</v>
      </c>
      <c r="I10" s="7" t="n">
        <v>20</v>
      </c>
      <c r="J10" s="7" t="n">
        <v>4</v>
      </c>
      <c r="K10" s="7" t="n">
        <v>60</v>
      </c>
      <c r="L10" s="4" t="s">
        <v>172</v>
      </c>
      <c r="M10" s="6" t="s">
        <v>50</v>
      </c>
      <c r="N10" s="6" t="s">
        <v>50</v>
      </c>
    </row>
    <row r="11" customFormat="false" ht="22.35" hidden="false" customHeight="false" outlineLevel="0" collapsed="false">
      <c r="A11" s="4" t="s">
        <v>24</v>
      </c>
      <c r="B11" s="6" t="s">
        <v>25</v>
      </c>
      <c r="C11" s="4" t="s">
        <v>192</v>
      </c>
      <c r="D11" s="6" t="s">
        <v>193</v>
      </c>
      <c r="E11" s="6" t="s">
        <v>184</v>
      </c>
      <c r="F11" s="6" t="s">
        <v>184</v>
      </c>
      <c r="G11" s="4" t="s">
        <v>148</v>
      </c>
      <c r="H11" s="6" t="s">
        <v>194</v>
      </c>
      <c r="I11" s="7" t="n">
        <v>160</v>
      </c>
      <c r="J11" s="7" t="n">
        <v>80</v>
      </c>
      <c r="K11" s="7" t="n">
        <v>1600</v>
      </c>
      <c r="L11" s="4" t="s">
        <v>195</v>
      </c>
      <c r="M11" s="6" t="s">
        <v>50</v>
      </c>
      <c r="N11" s="6" t="s">
        <v>197</v>
      </c>
    </row>
    <row r="12" customFormat="false" ht="32.8" hidden="false" customHeight="false" outlineLevel="0" collapsed="false">
      <c r="A12" s="4" t="s">
        <v>24</v>
      </c>
      <c r="B12" s="6" t="s">
        <v>25</v>
      </c>
      <c r="C12" s="4" t="s">
        <v>198</v>
      </c>
      <c r="D12" s="6" t="s">
        <v>199</v>
      </c>
      <c r="E12" s="6" t="s">
        <v>612</v>
      </c>
      <c r="F12" s="6" t="s">
        <v>611</v>
      </c>
      <c r="G12" s="4" t="s">
        <v>148</v>
      </c>
      <c r="H12" s="6" t="s">
        <v>200</v>
      </c>
      <c r="I12" s="7" t="n">
        <v>2</v>
      </c>
      <c r="J12" s="7" t="n">
        <v>2</v>
      </c>
      <c r="K12" s="7" t="n">
        <v>160</v>
      </c>
      <c r="L12" s="4" t="s">
        <v>165</v>
      </c>
      <c r="M12" s="6" t="s">
        <v>202</v>
      </c>
      <c r="N12" s="6" t="s">
        <v>204</v>
      </c>
    </row>
    <row r="13" customFormat="false" ht="32.8" hidden="false" customHeight="false" outlineLevel="0" collapsed="false">
      <c r="A13" s="4" t="s">
        <v>24</v>
      </c>
      <c r="B13" s="6" t="s">
        <v>25</v>
      </c>
      <c r="C13" s="4" t="s">
        <v>205</v>
      </c>
      <c r="D13" s="6" t="s">
        <v>206</v>
      </c>
      <c r="E13" s="6" t="s">
        <v>612</v>
      </c>
      <c r="F13" s="6" t="s">
        <v>611</v>
      </c>
      <c r="G13" s="4" t="s">
        <v>148</v>
      </c>
      <c r="H13" s="6" t="s">
        <v>207</v>
      </c>
      <c r="I13" s="7" t="n">
        <v>2</v>
      </c>
      <c r="J13" s="7" t="n">
        <v>2</v>
      </c>
      <c r="K13" s="7" t="n">
        <v>120</v>
      </c>
      <c r="L13" s="4" t="s">
        <v>165</v>
      </c>
      <c r="M13" s="6" t="s">
        <v>208</v>
      </c>
      <c r="N13" s="6" t="s">
        <v>210</v>
      </c>
    </row>
    <row r="14" customFormat="false" ht="32.8" hidden="false" customHeight="false" outlineLevel="0" collapsed="false">
      <c r="A14" s="4" t="s">
        <v>24</v>
      </c>
      <c r="B14" s="6" t="s">
        <v>25</v>
      </c>
      <c r="C14" s="4" t="s">
        <v>211</v>
      </c>
      <c r="D14" s="6" t="s">
        <v>212</v>
      </c>
      <c r="E14" s="6" t="s">
        <v>612</v>
      </c>
      <c r="F14" s="6" t="s">
        <v>611</v>
      </c>
      <c r="G14" s="4" t="s">
        <v>148</v>
      </c>
      <c r="H14" s="6" t="s">
        <v>213</v>
      </c>
      <c r="I14" s="7" t="n">
        <v>4</v>
      </c>
      <c r="J14" s="7" t="n">
        <v>4</v>
      </c>
      <c r="K14" s="7" t="n">
        <v>80</v>
      </c>
      <c r="L14" s="4" t="s">
        <v>172</v>
      </c>
      <c r="M14" s="6" t="s">
        <v>50</v>
      </c>
      <c r="N14" s="6" t="s">
        <v>216</v>
      </c>
    </row>
    <row r="15" customFormat="false" ht="22.35" hidden="false" customHeight="false" outlineLevel="0" collapsed="false">
      <c r="A15" s="4" t="s">
        <v>24</v>
      </c>
      <c r="B15" s="6" t="s">
        <v>25</v>
      </c>
      <c r="C15" s="4" t="s">
        <v>217</v>
      </c>
      <c r="D15" s="6" t="s">
        <v>218</v>
      </c>
      <c r="E15" s="6" t="s">
        <v>184</v>
      </c>
      <c r="F15" s="6" t="s">
        <v>610</v>
      </c>
      <c r="G15" s="4" t="s">
        <v>148</v>
      </c>
      <c r="H15" s="6" t="s">
        <v>219</v>
      </c>
      <c r="I15" s="7" t="n">
        <v>13</v>
      </c>
      <c r="J15" s="7" t="n">
        <v>3</v>
      </c>
      <c r="K15" s="7" t="n">
        <v>40</v>
      </c>
      <c r="L15" s="4" t="s">
        <v>221</v>
      </c>
      <c r="M15" s="6" t="s">
        <v>222</v>
      </c>
      <c r="N15" s="6" t="s">
        <v>50</v>
      </c>
    </row>
    <row r="16" customFormat="false" ht="22.35" hidden="false" customHeight="false" outlineLevel="0" collapsed="false">
      <c r="A16" s="4" t="s">
        <v>31</v>
      </c>
      <c r="B16" s="6" t="s">
        <v>32</v>
      </c>
      <c r="C16" s="4" t="s">
        <v>228</v>
      </c>
      <c r="D16" s="6" t="s">
        <v>229</v>
      </c>
      <c r="E16" s="6" t="s">
        <v>612</v>
      </c>
      <c r="F16" s="6" t="s">
        <v>611</v>
      </c>
      <c r="G16" s="4" t="s">
        <v>148</v>
      </c>
      <c r="H16" s="6" t="s">
        <v>230</v>
      </c>
      <c r="I16" s="7" t="n">
        <v>250</v>
      </c>
      <c r="J16" s="7" t="n">
        <v>250</v>
      </c>
      <c r="K16" s="7" t="n">
        <v>320</v>
      </c>
      <c r="L16" s="4" t="s">
        <v>231</v>
      </c>
      <c r="M16" s="6" t="s">
        <v>232</v>
      </c>
      <c r="N16" s="6" t="s">
        <v>235</v>
      </c>
    </row>
    <row r="17" customFormat="false" ht="22.35" hidden="false" customHeight="false" outlineLevel="0" collapsed="false">
      <c r="A17" s="4" t="s">
        <v>31</v>
      </c>
      <c r="B17" s="6" t="s">
        <v>32</v>
      </c>
      <c r="C17" s="4" t="s">
        <v>236</v>
      </c>
      <c r="D17" s="6" t="s">
        <v>237</v>
      </c>
      <c r="E17" s="6" t="s">
        <v>613</v>
      </c>
      <c r="F17" s="6" t="s">
        <v>611</v>
      </c>
      <c r="G17" s="4" t="s">
        <v>148</v>
      </c>
      <c r="H17" s="6" t="s">
        <v>238</v>
      </c>
      <c r="I17" s="7" t="n">
        <v>100</v>
      </c>
      <c r="J17" s="7" t="n">
        <v>100</v>
      </c>
      <c r="K17" s="7" t="n">
        <v>120</v>
      </c>
      <c r="L17" s="4" t="s">
        <v>240</v>
      </c>
      <c r="M17" s="6" t="s">
        <v>241</v>
      </c>
      <c r="N17" s="6" t="s">
        <v>244</v>
      </c>
    </row>
    <row r="18" customFormat="false" ht="15" hidden="false" customHeight="false" outlineLevel="0" collapsed="false">
      <c r="A18" s="4" t="s">
        <v>38</v>
      </c>
      <c r="B18" s="6" t="s">
        <v>39</v>
      </c>
      <c r="C18" s="4" t="s">
        <v>249</v>
      </c>
      <c r="D18" s="6" t="s">
        <v>250</v>
      </c>
      <c r="E18" s="6" t="s">
        <v>613</v>
      </c>
      <c r="F18" s="6" t="s">
        <v>611</v>
      </c>
      <c r="G18" s="4" t="s">
        <v>148</v>
      </c>
      <c r="H18" s="6" t="s">
        <v>251</v>
      </c>
      <c r="I18" s="7" t="n">
        <v>1</v>
      </c>
      <c r="J18" s="7" t="n">
        <v>1</v>
      </c>
      <c r="K18" s="7" t="n">
        <v>320</v>
      </c>
      <c r="L18" s="4" t="s">
        <v>149</v>
      </c>
      <c r="M18" s="6" t="s">
        <v>50</v>
      </c>
      <c r="N18" s="6" t="s">
        <v>252</v>
      </c>
    </row>
    <row r="19" customFormat="false" ht="32.8" hidden="false" customHeight="false" outlineLevel="0" collapsed="false">
      <c r="A19" s="4" t="s">
        <v>38</v>
      </c>
      <c r="B19" s="6" t="s">
        <v>39</v>
      </c>
      <c r="C19" s="4" t="s">
        <v>253</v>
      </c>
      <c r="D19" s="6" t="s">
        <v>254</v>
      </c>
      <c r="E19" s="6" t="s">
        <v>613</v>
      </c>
      <c r="F19" s="6" t="s">
        <v>614</v>
      </c>
      <c r="G19" s="4" t="s">
        <v>148</v>
      </c>
      <c r="H19" s="6" t="s">
        <v>255</v>
      </c>
      <c r="I19" s="7" t="n">
        <v>0.25</v>
      </c>
      <c r="J19" s="7" t="n">
        <v>0.25</v>
      </c>
      <c r="K19" s="7" t="n">
        <v>70</v>
      </c>
      <c r="L19" s="4" t="s">
        <v>257</v>
      </c>
      <c r="M19" s="6" t="s">
        <v>50</v>
      </c>
      <c r="N19" s="6" t="s">
        <v>260</v>
      </c>
    </row>
    <row r="20" customFormat="false" ht="15" hidden="false" customHeight="false" outlineLevel="0" collapsed="false">
      <c r="A20" s="4" t="s">
        <v>38</v>
      </c>
      <c r="B20" s="6" t="s">
        <v>39</v>
      </c>
      <c r="C20" s="4" t="s">
        <v>261</v>
      </c>
      <c r="D20" s="6" t="s">
        <v>262</v>
      </c>
      <c r="E20" s="6" t="s">
        <v>184</v>
      </c>
      <c r="F20" s="6" t="s">
        <v>184</v>
      </c>
      <c r="G20" s="4" t="s">
        <v>148</v>
      </c>
      <c r="H20" s="6" t="s">
        <v>263</v>
      </c>
      <c r="I20" s="7" t="n">
        <v>120</v>
      </c>
      <c r="J20" s="7" t="n">
        <v>60</v>
      </c>
      <c r="K20" s="7" t="n">
        <v>150</v>
      </c>
      <c r="L20" s="4" t="s">
        <v>264</v>
      </c>
      <c r="M20" s="6" t="s">
        <v>50</v>
      </c>
      <c r="N20" s="6" t="s">
        <v>265</v>
      </c>
    </row>
    <row r="21" customFormat="false" ht="22.35" hidden="false" customHeight="false" outlineLevel="0" collapsed="false">
      <c r="A21" s="4" t="s">
        <v>38</v>
      </c>
      <c r="B21" s="6" t="s">
        <v>39</v>
      </c>
      <c r="C21" s="4" t="s">
        <v>266</v>
      </c>
      <c r="D21" s="6" t="s">
        <v>267</v>
      </c>
      <c r="E21" s="6" t="s">
        <v>612</v>
      </c>
      <c r="F21" s="6" t="s">
        <v>611</v>
      </c>
      <c r="G21" s="4" t="s">
        <v>148</v>
      </c>
      <c r="H21" s="6" t="s">
        <v>268</v>
      </c>
      <c r="I21" s="7" t="n">
        <v>2</v>
      </c>
      <c r="J21" s="7" t="n">
        <v>2</v>
      </c>
      <c r="K21" s="7" t="n">
        <v>240</v>
      </c>
      <c r="L21" s="4" t="s">
        <v>165</v>
      </c>
      <c r="M21" s="6" t="s">
        <v>50</v>
      </c>
      <c r="N21" s="6" t="s">
        <v>269</v>
      </c>
    </row>
    <row r="22" customFormat="false" ht="22.35" hidden="false" customHeight="false" outlineLevel="0" collapsed="false">
      <c r="A22" s="4" t="s">
        <v>38</v>
      </c>
      <c r="B22" s="6" t="s">
        <v>39</v>
      </c>
      <c r="C22" s="4" t="s">
        <v>270</v>
      </c>
      <c r="D22" s="6" t="s">
        <v>271</v>
      </c>
      <c r="E22" s="6" t="s">
        <v>184</v>
      </c>
      <c r="F22" s="6" t="s">
        <v>184</v>
      </c>
      <c r="G22" s="4" t="s">
        <v>148</v>
      </c>
      <c r="H22" s="6" t="s">
        <v>272</v>
      </c>
      <c r="I22" s="7" t="n">
        <v>180</v>
      </c>
      <c r="J22" s="7" t="n">
        <v>90</v>
      </c>
      <c r="K22" s="7" t="n">
        <v>400</v>
      </c>
      <c r="L22" s="4" t="s">
        <v>273</v>
      </c>
      <c r="M22" s="6" t="s">
        <v>50</v>
      </c>
      <c r="N22" s="6" t="s">
        <v>265</v>
      </c>
    </row>
    <row r="23" customFormat="false" ht="22.35" hidden="false" customHeight="false" outlineLevel="0" collapsed="false">
      <c r="A23" s="4" t="s">
        <v>38</v>
      </c>
      <c r="B23" s="6" t="s">
        <v>39</v>
      </c>
      <c r="C23" s="4" t="s">
        <v>274</v>
      </c>
      <c r="D23" s="6" t="s">
        <v>275</v>
      </c>
      <c r="E23" s="6" t="s">
        <v>609</v>
      </c>
      <c r="F23" s="6" t="s">
        <v>184</v>
      </c>
      <c r="G23" s="4" t="s">
        <v>148</v>
      </c>
      <c r="H23" s="6" t="s">
        <v>276</v>
      </c>
      <c r="I23" s="7" t="n">
        <v>6</v>
      </c>
      <c r="J23" s="7" t="n">
        <v>2</v>
      </c>
      <c r="K23" s="7" t="n">
        <v>16</v>
      </c>
      <c r="L23" s="4" t="s">
        <v>165</v>
      </c>
      <c r="M23" s="6" t="s">
        <v>43</v>
      </c>
      <c r="N23" s="6" t="s">
        <v>50</v>
      </c>
    </row>
    <row r="24" customFormat="false" ht="22.35" hidden="false" customHeight="false" outlineLevel="0" collapsed="false">
      <c r="A24" s="4" t="s">
        <v>38</v>
      </c>
      <c r="B24" s="6" t="s">
        <v>39</v>
      </c>
      <c r="C24" s="4" t="s">
        <v>279</v>
      </c>
      <c r="D24" s="6" t="s">
        <v>280</v>
      </c>
      <c r="E24" s="6" t="s">
        <v>612</v>
      </c>
      <c r="F24" s="6" t="s">
        <v>184</v>
      </c>
      <c r="G24" s="4" t="s">
        <v>148</v>
      </c>
      <c r="H24" s="6" t="s">
        <v>281</v>
      </c>
      <c r="I24" s="7" t="n">
        <v>16</v>
      </c>
      <c r="J24" s="7" t="n">
        <v>4</v>
      </c>
      <c r="K24" s="7" t="n">
        <v>48</v>
      </c>
      <c r="L24" s="4" t="s">
        <v>172</v>
      </c>
      <c r="M24" s="6" t="s">
        <v>50</v>
      </c>
      <c r="N24" s="6" t="s">
        <v>50</v>
      </c>
    </row>
    <row r="25" customFormat="false" ht="22.35" hidden="false" customHeight="false" outlineLevel="0" collapsed="false">
      <c r="A25" s="4" t="s">
        <v>45</v>
      </c>
      <c r="B25" s="6" t="s">
        <v>46</v>
      </c>
      <c r="C25" s="4" t="s">
        <v>288</v>
      </c>
      <c r="D25" s="6" t="s">
        <v>289</v>
      </c>
      <c r="E25" s="6" t="s">
        <v>184</v>
      </c>
      <c r="F25" s="6" t="s">
        <v>184</v>
      </c>
      <c r="G25" s="4" t="s">
        <v>148</v>
      </c>
      <c r="H25" s="6" t="s">
        <v>290</v>
      </c>
      <c r="I25" s="7" t="n">
        <v>300</v>
      </c>
      <c r="J25" s="7" t="n">
        <v>150</v>
      </c>
      <c r="K25" s="7" t="n">
        <v>250</v>
      </c>
      <c r="L25" s="4" t="s">
        <v>291</v>
      </c>
      <c r="M25" s="6" t="s">
        <v>50</v>
      </c>
      <c r="N25" s="6" t="s">
        <v>265</v>
      </c>
    </row>
    <row r="26" customFormat="false" ht="32.8" hidden="false" customHeight="false" outlineLevel="0" collapsed="false">
      <c r="A26" s="4" t="s">
        <v>45</v>
      </c>
      <c r="B26" s="6" t="s">
        <v>46</v>
      </c>
      <c r="C26" s="4" t="s">
        <v>292</v>
      </c>
      <c r="D26" s="6" t="s">
        <v>293</v>
      </c>
      <c r="E26" s="6" t="s">
        <v>184</v>
      </c>
      <c r="F26" s="6" t="s">
        <v>184</v>
      </c>
      <c r="G26" s="4" t="s">
        <v>148</v>
      </c>
      <c r="H26" s="6" t="s">
        <v>294</v>
      </c>
      <c r="I26" s="7" t="n">
        <v>240</v>
      </c>
      <c r="J26" s="7" t="n">
        <v>120</v>
      </c>
      <c r="K26" s="7" t="n">
        <v>500</v>
      </c>
      <c r="L26" s="4" t="s">
        <v>295</v>
      </c>
      <c r="M26" s="6" t="s">
        <v>50</v>
      </c>
      <c r="N26" s="6" t="s">
        <v>265</v>
      </c>
    </row>
    <row r="27" customFormat="false" ht="32.8" hidden="false" customHeight="false" outlineLevel="0" collapsed="false">
      <c r="A27" s="4" t="s">
        <v>45</v>
      </c>
      <c r="B27" s="6" t="s">
        <v>46</v>
      </c>
      <c r="C27" s="4" t="s">
        <v>296</v>
      </c>
      <c r="D27" s="6" t="s">
        <v>297</v>
      </c>
      <c r="E27" s="6" t="s">
        <v>184</v>
      </c>
      <c r="F27" s="6" t="s">
        <v>184</v>
      </c>
      <c r="G27" s="4" t="s">
        <v>148</v>
      </c>
      <c r="H27" s="6" t="s">
        <v>298</v>
      </c>
      <c r="I27" s="7" t="n">
        <v>170</v>
      </c>
      <c r="J27" s="7" t="n">
        <v>85</v>
      </c>
      <c r="K27" s="7" t="n">
        <v>150</v>
      </c>
      <c r="L27" s="4" t="s">
        <v>273</v>
      </c>
      <c r="M27" s="6" t="s">
        <v>50</v>
      </c>
      <c r="N27" s="6" t="s">
        <v>265</v>
      </c>
    </row>
    <row r="28" customFormat="false" ht="22.35" hidden="false" customHeight="false" outlineLevel="0" collapsed="false">
      <c r="A28" s="4" t="s">
        <v>45</v>
      </c>
      <c r="B28" s="6" t="s">
        <v>46</v>
      </c>
      <c r="C28" s="4" t="s">
        <v>299</v>
      </c>
      <c r="D28" s="6" t="s">
        <v>300</v>
      </c>
      <c r="E28" s="6" t="s">
        <v>612</v>
      </c>
      <c r="F28" s="6" t="s">
        <v>184</v>
      </c>
      <c r="G28" s="4" t="s">
        <v>148</v>
      </c>
      <c r="H28" s="6" t="s">
        <v>301</v>
      </c>
      <c r="I28" s="7" t="n">
        <v>13</v>
      </c>
      <c r="J28" s="7" t="n">
        <v>3</v>
      </c>
      <c r="K28" s="7" t="n">
        <v>40</v>
      </c>
      <c r="L28" s="4" t="s">
        <v>221</v>
      </c>
      <c r="M28" s="6" t="s">
        <v>50</v>
      </c>
      <c r="N28" s="6" t="s">
        <v>50</v>
      </c>
    </row>
    <row r="29" customFormat="false" ht="22.35" hidden="false" customHeight="false" outlineLevel="0" collapsed="false">
      <c r="A29" s="4" t="s">
        <v>52</v>
      </c>
      <c r="B29" s="6" t="s">
        <v>53</v>
      </c>
      <c r="C29" s="4" t="s">
        <v>306</v>
      </c>
      <c r="D29" s="6" t="s">
        <v>307</v>
      </c>
      <c r="E29" s="6" t="s">
        <v>613</v>
      </c>
      <c r="F29" s="6" t="s">
        <v>610</v>
      </c>
      <c r="G29" s="4" t="s">
        <v>148</v>
      </c>
      <c r="H29" s="6" t="s">
        <v>308</v>
      </c>
      <c r="I29" s="7" t="n">
        <v>3</v>
      </c>
      <c r="J29" s="7" t="n">
        <v>1</v>
      </c>
      <c r="K29" s="7" t="n">
        <v>8</v>
      </c>
      <c r="L29" s="4" t="s">
        <v>149</v>
      </c>
      <c r="M29" s="6" t="s">
        <v>50</v>
      </c>
      <c r="N29" s="6" t="s">
        <v>50</v>
      </c>
    </row>
    <row r="30" customFormat="false" ht="22.35" hidden="false" customHeight="false" outlineLevel="0" collapsed="false">
      <c r="A30" s="4" t="s">
        <v>52</v>
      </c>
      <c r="B30" s="6" t="s">
        <v>53</v>
      </c>
      <c r="C30" s="4" t="s">
        <v>310</v>
      </c>
      <c r="D30" s="6" t="s">
        <v>311</v>
      </c>
      <c r="E30" s="6" t="s">
        <v>613</v>
      </c>
      <c r="F30" s="6" t="s">
        <v>610</v>
      </c>
      <c r="G30" s="4" t="s">
        <v>148</v>
      </c>
      <c r="H30" s="6" t="s">
        <v>308</v>
      </c>
      <c r="I30" s="7" t="n">
        <v>3</v>
      </c>
      <c r="J30" s="7" t="n">
        <v>1</v>
      </c>
      <c r="K30" s="7" t="n">
        <v>8</v>
      </c>
      <c r="L30" s="4" t="s">
        <v>149</v>
      </c>
      <c r="M30" s="6" t="s">
        <v>50</v>
      </c>
      <c r="N30" s="6" t="s">
        <v>50</v>
      </c>
    </row>
    <row r="31" customFormat="false" ht="22.35" hidden="false" customHeight="false" outlineLevel="0" collapsed="false">
      <c r="A31" s="4" t="s">
        <v>52</v>
      </c>
      <c r="B31" s="6" t="s">
        <v>53</v>
      </c>
      <c r="C31" s="4" t="s">
        <v>312</v>
      </c>
      <c r="D31" s="6" t="s">
        <v>313</v>
      </c>
      <c r="E31" s="6" t="s">
        <v>613</v>
      </c>
      <c r="F31" s="6" t="s">
        <v>610</v>
      </c>
      <c r="G31" s="4" t="s">
        <v>148</v>
      </c>
      <c r="H31" s="6" t="s">
        <v>314</v>
      </c>
      <c r="I31" s="7" t="n">
        <v>3</v>
      </c>
      <c r="J31" s="7" t="n">
        <v>1</v>
      </c>
      <c r="K31" s="7" t="n">
        <v>8</v>
      </c>
      <c r="L31" s="4" t="s">
        <v>149</v>
      </c>
      <c r="M31" s="6" t="s">
        <v>50</v>
      </c>
      <c r="N31" s="6" t="s">
        <v>50</v>
      </c>
    </row>
    <row r="32" customFormat="false" ht="32.8" hidden="false" customHeight="false" outlineLevel="0" collapsed="false">
      <c r="A32" s="4" t="s">
        <v>52</v>
      </c>
      <c r="B32" s="6" t="s">
        <v>53</v>
      </c>
      <c r="C32" s="4" t="s">
        <v>315</v>
      </c>
      <c r="D32" s="6" t="s">
        <v>316</v>
      </c>
      <c r="E32" s="6" t="s">
        <v>613</v>
      </c>
      <c r="F32" s="6" t="s">
        <v>610</v>
      </c>
      <c r="G32" s="4" t="s">
        <v>148</v>
      </c>
      <c r="H32" s="6" t="s">
        <v>317</v>
      </c>
      <c r="I32" s="7" t="n">
        <v>3</v>
      </c>
      <c r="J32" s="7" t="n">
        <v>1</v>
      </c>
      <c r="K32" s="7" t="n">
        <v>8</v>
      </c>
      <c r="L32" s="4" t="s">
        <v>149</v>
      </c>
      <c r="M32" s="6" t="s">
        <v>50</v>
      </c>
      <c r="N32" s="6" t="s">
        <v>50</v>
      </c>
    </row>
    <row r="33" customFormat="false" ht="22.35" hidden="false" customHeight="false" outlineLevel="0" collapsed="false">
      <c r="A33" s="4" t="s">
        <v>52</v>
      </c>
      <c r="B33" s="6" t="s">
        <v>53</v>
      </c>
      <c r="C33" s="4" t="s">
        <v>318</v>
      </c>
      <c r="D33" s="6" t="s">
        <v>319</v>
      </c>
      <c r="E33" s="6" t="s">
        <v>613</v>
      </c>
      <c r="F33" s="6" t="s">
        <v>610</v>
      </c>
      <c r="G33" s="4" t="s">
        <v>148</v>
      </c>
      <c r="H33" s="6" t="s">
        <v>320</v>
      </c>
      <c r="I33" s="7" t="n">
        <v>3</v>
      </c>
      <c r="J33" s="7" t="n">
        <v>1</v>
      </c>
      <c r="K33" s="7" t="n">
        <v>8</v>
      </c>
      <c r="L33" s="4" t="s">
        <v>149</v>
      </c>
      <c r="M33" s="6" t="s">
        <v>50</v>
      </c>
      <c r="N33" s="6" t="s">
        <v>50</v>
      </c>
    </row>
    <row r="34" customFormat="false" ht="22.35" hidden="false" customHeight="false" outlineLevel="0" collapsed="false">
      <c r="A34" s="4" t="s">
        <v>52</v>
      </c>
      <c r="B34" s="6" t="s">
        <v>53</v>
      </c>
      <c r="C34" s="4" t="s">
        <v>321</v>
      </c>
      <c r="D34" s="6" t="s">
        <v>322</v>
      </c>
      <c r="E34" s="6" t="s">
        <v>613</v>
      </c>
      <c r="F34" s="6" t="s">
        <v>610</v>
      </c>
      <c r="G34" s="4" t="s">
        <v>148</v>
      </c>
      <c r="H34" s="6" t="s">
        <v>323</v>
      </c>
      <c r="I34" s="7" t="n">
        <v>3</v>
      </c>
      <c r="J34" s="7" t="n">
        <v>1</v>
      </c>
      <c r="K34" s="7" t="n">
        <v>8</v>
      </c>
      <c r="L34" s="4" t="s">
        <v>149</v>
      </c>
      <c r="M34" s="6" t="s">
        <v>50</v>
      </c>
      <c r="N34" s="6" t="s">
        <v>50</v>
      </c>
    </row>
    <row r="35" customFormat="false" ht="32.8" hidden="false" customHeight="false" outlineLevel="0" collapsed="false">
      <c r="A35" s="4" t="s">
        <v>52</v>
      </c>
      <c r="B35" s="6" t="s">
        <v>53</v>
      </c>
      <c r="C35" s="4" t="s">
        <v>324</v>
      </c>
      <c r="D35" s="6" t="s">
        <v>325</v>
      </c>
      <c r="E35" s="6" t="s">
        <v>613</v>
      </c>
      <c r="F35" s="6" t="s">
        <v>610</v>
      </c>
      <c r="G35" s="4" t="s">
        <v>148</v>
      </c>
      <c r="H35" s="6" t="s">
        <v>326</v>
      </c>
      <c r="I35" s="7" t="n">
        <v>13</v>
      </c>
      <c r="J35" s="7" t="n">
        <v>3</v>
      </c>
      <c r="K35" s="7" t="n">
        <v>40</v>
      </c>
      <c r="L35" s="4" t="s">
        <v>221</v>
      </c>
      <c r="M35" s="6" t="s">
        <v>50</v>
      </c>
      <c r="N35" s="6" t="s">
        <v>50</v>
      </c>
    </row>
    <row r="36" customFormat="false" ht="22.35" hidden="false" customHeight="false" outlineLevel="0" collapsed="false">
      <c r="A36" s="4" t="s">
        <v>52</v>
      </c>
      <c r="B36" s="6" t="s">
        <v>53</v>
      </c>
      <c r="C36" s="4" t="s">
        <v>327</v>
      </c>
      <c r="D36" s="6" t="s">
        <v>328</v>
      </c>
      <c r="E36" s="6" t="s">
        <v>613</v>
      </c>
      <c r="F36" s="6" t="s">
        <v>610</v>
      </c>
      <c r="G36" s="4" t="s">
        <v>148</v>
      </c>
      <c r="H36" s="6" t="s">
        <v>329</v>
      </c>
      <c r="I36" s="7" t="n">
        <v>3</v>
      </c>
      <c r="J36" s="7" t="n">
        <v>1</v>
      </c>
      <c r="K36" s="7" t="n">
        <v>8</v>
      </c>
      <c r="L36" s="4" t="s">
        <v>149</v>
      </c>
      <c r="M36" s="6" t="s">
        <v>50</v>
      </c>
      <c r="N36" s="6" t="s">
        <v>50</v>
      </c>
    </row>
    <row r="37" customFormat="false" ht="22.35" hidden="false" customHeight="false" outlineLevel="0" collapsed="false">
      <c r="A37" s="4" t="s">
        <v>52</v>
      </c>
      <c r="B37" s="6" t="s">
        <v>53</v>
      </c>
      <c r="C37" s="4" t="s">
        <v>330</v>
      </c>
      <c r="D37" s="6" t="s">
        <v>331</v>
      </c>
      <c r="E37" s="6" t="s">
        <v>613</v>
      </c>
      <c r="F37" s="6" t="s">
        <v>610</v>
      </c>
      <c r="G37" s="4" t="s">
        <v>148</v>
      </c>
      <c r="H37" s="6" t="s">
        <v>332</v>
      </c>
      <c r="I37" s="7" t="n">
        <v>3</v>
      </c>
      <c r="J37" s="7" t="n">
        <v>1</v>
      </c>
      <c r="K37" s="7" t="n">
        <v>8</v>
      </c>
      <c r="L37" s="4" t="s">
        <v>149</v>
      </c>
      <c r="M37" s="6" t="s">
        <v>50</v>
      </c>
      <c r="N37" s="6" t="s">
        <v>50</v>
      </c>
    </row>
    <row r="38" customFormat="false" ht="22.35" hidden="false" customHeight="false" outlineLevel="0" collapsed="false">
      <c r="A38" s="4" t="s">
        <v>52</v>
      </c>
      <c r="B38" s="6" t="s">
        <v>53</v>
      </c>
      <c r="C38" s="4" t="s">
        <v>333</v>
      </c>
      <c r="D38" s="6" t="s">
        <v>334</v>
      </c>
      <c r="E38" s="6" t="s">
        <v>613</v>
      </c>
      <c r="F38" s="6" t="s">
        <v>610</v>
      </c>
      <c r="G38" s="4" t="s">
        <v>148</v>
      </c>
      <c r="H38" s="6" t="s">
        <v>335</v>
      </c>
      <c r="I38" s="7" t="n">
        <v>3</v>
      </c>
      <c r="J38" s="7" t="n">
        <v>1</v>
      </c>
      <c r="K38" s="7" t="n">
        <v>8</v>
      </c>
      <c r="L38" s="4" t="s">
        <v>149</v>
      </c>
      <c r="M38" s="6" t="s">
        <v>50</v>
      </c>
      <c r="N38" s="6" t="s">
        <v>50</v>
      </c>
    </row>
    <row r="39" customFormat="false" ht="22.35" hidden="false" customHeight="false" outlineLevel="0" collapsed="false">
      <c r="A39" s="4" t="s">
        <v>52</v>
      </c>
      <c r="B39" s="6" t="s">
        <v>53</v>
      </c>
      <c r="C39" s="4" t="s">
        <v>336</v>
      </c>
      <c r="D39" s="6" t="s">
        <v>337</v>
      </c>
      <c r="E39" s="6" t="s">
        <v>613</v>
      </c>
      <c r="F39" s="6" t="s">
        <v>610</v>
      </c>
      <c r="G39" s="4" t="s">
        <v>148</v>
      </c>
      <c r="H39" s="6" t="s">
        <v>338</v>
      </c>
      <c r="I39" s="7" t="n">
        <v>8</v>
      </c>
      <c r="J39" s="7" t="n">
        <v>2</v>
      </c>
      <c r="K39" s="7" t="n">
        <v>24</v>
      </c>
      <c r="L39" s="4" t="s">
        <v>165</v>
      </c>
      <c r="M39" s="6" t="s">
        <v>50</v>
      </c>
      <c r="N39" s="6" t="s">
        <v>50</v>
      </c>
    </row>
    <row r="40" customFormat="false" ht="22.35" hidden="false" customHeight="false" outlineLevel="0" collapsed="false">
      <c r="A40" s="4" t="s">
        <v>52</v>
      </c>
      <c r="B40" s="6" t="s">
        <v>53</v>
      </c>
      <c r="C40" s="4" t="s">
        <v>340</v>
      </c>
      <c r="D40" s="6" t="s">
        <v>341</v>
      </c>
      <c r="E40" s="6" t="s">
        <v>613</v>
      </c>
      <c r="F40" s="6" t="s">
        <v>610</v>
      </c>
      <c r="G40" s="4" t="s">
        <v>148</v>
      </c>
      <c r="H40" s="6" t="s">
        <v>342</v>
      </c>
      <c r="I40" s="7" t="n">
        <v>3</v>
      </c>
      <c r="J40" s="7" t="n">
        <v>1</v>
      </c>
      <c r="K40" s="7" t="n">
        <v>8</v>
      </c>
      <c r="L40" s="4" t="s">
        <v>149</v>
      </c>
      <c r="M40" s="6" t="s">
        <v>50</v>
      </c>
      <c r="N40" s="6" t="s">
        <v>50</v>
      </c>
    </row>
    <row r="41" customFormat="false" ht="22.35" hidden="false" customHeight="false" outlineLevel="0" collapsed="false">
      <c r="A41" s="4" t="s">
        <v>52</v>
      </c>
      <c r="B41" s="6" t="s">
        <v>53</v>
      </c>
      <c r="C41" s="4" t="s">
        <v>343</v>
      </c>
      <c r="D41" s="6" t="s">
        <v>344</v>
      </c>
      <c r="E41" s="6" t="s">
        <v>613</v>
      </c>
      <c r="F41" s="6" t="s">
        <v>611</v>
      </c>
      <c r="G41" s="4" t="s">
        <v>148</v>
      </c>
      <c r="H41" s="6" t="s">
        <v>345</v>
      </c>
      <c r="I41" s="7" t="n">
        <v>10</v>
      </c>
      <c r="J41" s="7" t="n">
        <v>2</v>
      </c>
      <c r="K41" s="7" t="n">
        <v>32</v>
      </c>
      <c r="L41" s="4" t="s">
        <v>165</v>
      </c>
      <c r="M41" s="6" t="s">
        <v>50</v>
      </c>
      <c r="N41" s="6" t="s">
        <v>50</v>
      </c>
    </row>
    <row r="42" customFormat="false" ht="22.35" hidden="false" customHeight="false" outlineLevel="0" collapsed="false">
      <c r="A42" s="4" t="s">
        <v>52</v>
      </c>
      <c r="B42" s="6" t="s">
        <v>53</v>
      </c>
      <c r="C42" s="4" t="s">
        <v>347</v>
      </c>
      <c r="D42" s="6" t="s">
        <v>348</v>
      </c>
      <c r="E42" s="6" t="s">
        <v>613</v>
      </c>
      <c r="F42" s="6" t="s">
        <v>611</v>
      </c>
      <c r="G42" s="4" t="s">
        <v>148</v>
      </c>
      <c r="H42" s="6" t="s">
        <v>349</v>
      </c>
      <c r="I42" s="7" t="n">
        <v>26</v>
      </c>
      <c r="J42" s="7" t="n">
        <v>6</v>
      </c>
      <c r="K42" s="7" t="n">
        <v>80</v>
      </c>
      <c r="L42" s="4" t="s">
        <v>350</v>
      </c>
      <c r="M42" s="6" t="s">
        <v>57</v>
      </c>
      <c r="N42" s="6" t="s">
        <v>50</v>
      </c>
    </row>
    <row r="43" customFormat="false" ht="32.8" hidden="false" customHeight="false" outlineLevel="0" collapsed="false">
      <c r="A43" s="4" t="s">
        <v>59</v>
      </c>
      <c r="B43" s="6" t="s">
        <v>60</v>
      </c>
      <c r="C43" s="4" t="s">
        <v>356</v>
      </c>
      <c r="D43" s="6" t="s">
        <v>357</v>
      </c>
      <c r="E43" s="6" t="s">
        <v>615</v>
      </c>
      <c r="F43" s="6" t="s">
        <v>610</v>
      </c>
      <c r="G43" s="4" t="s">
        <v>148</v>
      </c>
      <c r="H43" s="6" t="s">
        <v>358</v>
      </c>
      <c r="I43" s="7" t="n">
        <v>16</v>
      </c>
      <c r="J43" s="7"/>
      <c r="K43" s="7" t="n">
        <v>40</v>
      </c>
      <c r="L43" s="4" t="s">
        <v>360</v>
      </c>
      <c r="M43" s="6" t="s">
        <v>50</v>
      </c>
      <c r="N43" s="6" t="s">
        <v>362</v>
      </c>
    </row>
    <row r="44" customFormat="false" ht="22.35" hidden="false" customHeight="false" outlineLevel="0" collapsed="false">
      <c r="A44" s="4" t="s">
        <v>59</v>
      </c>
      <c r="B44" s="6" t="s">
        <v>60</v>
      </c>
      <c r="C44" s="4" t="s">
        <v>363</v>
      </c>
      <c r="D44" s="6" t="s">
        <v>364</v>
      </c>
      <c r="E44" s="6" t="s">
        <v>184</v>
      </c>
      <c r="F44" s="6" t="s">
        <v>184</v>
      </c>
      <c r="G44" s="4" t="s">
        <v>148</v>
      </c>
      <c r="H44" s="6" t="s">
        <v>365</v>
      </c>
      <c r="I44" s="7" t="n">
        <v>80</v>
      </c>
      <c r="J44" s="7" t="n">
        <v>40</v>
      </c>
      <c r="K44" s="7" t="n">
        <v>120</v>
      </c>
      <c r="L44" s="4" t="s">
        <v>366</v>
      </c>
      <c r="M44" s="6" t="s">
        <v>50</v>
      </c>
      <c r="N44" s="6" t="s">
        <v>265</v>
      </c>
    </row>
    <row r="45" customFormat="false" ht="22.35" hidden="false" customHeight="false" outlineLevel="0" collapsed="false">
      <c r="A45" s="4" t="s">
        <v>59</v>
      </c>
      <c r="B45" s="6" t="s">
        <v>60</v>
      </c>
      <c r="C45" s="4" t="s">
        <v>367</v>
      </c>
      <c r="D45" s="6" t="s">
        <v>368</v>
      </c>
      <c r="E45" s="6" t="s">
        <v>612</v>
      </c>
      <c r="F45" s="6" t="s">
        <v>611</v>
      </c>
      <c r="G45" s="27" t="s">
        <v>370</v>
      </c>
      <c r="H45" s="6" t="s">
        <v>369</v>
      </c>
      <c r="I45" s="7" t="n">
        <v>80</v>
      </c>
      <c r="J45" s="7" t="n">
        <v>80</v>
      </c>
      <c r="K45" s="7" t="n">
        <v>160</v>
      </c>
      <c r="L45" s="4" t="s">
        <v>195</v>
      </c>
      <c r="M45" s="6" t="s">
        <v>50</v>
      </c>
      <c r="N45" s="6" t="s">
        <v>372</v>
      </c>
    </row>
    <row r="46" customFormat="false" ht="22.35" hidden="false" customHeight="false" outlineLevel="0" collapsed="false">
      <c r="A46" s="4" t="s">
        <v>59</v>
      </c>
      <c r="B46" s="6" t="s">
        <v>60</v>
      </c>
      <c r="C46" s="4" t="s">
        <v>373</v>
      </c>
      <c r="D46" s="6" t="s">
        <v>374</v>
      </c>
      <c r="E46" s="6" t="s">
        <v>184</v>
      </c>
      <c r="F46" s="6" t="s">
        <v>184</v>
      </c>
      <c r="G46" s="4" t="s">
        <v>148</v>
      </c>
      <c r="H46" s="6" t="s">
        <v>375</v>
      </c>
      <c r="I46" s="7" t="n">
        <v>100</v>
      </c>
      <c r="J46" s="7" t="n">
        <v>50</v>
      </c>
      <c r="K46" s="7" t="n">
        <v>275</v>
      </c>
      <c r="L46" s="4" t="s">
        <v>376</v>
      </c>
      <c r="M46" s="6" t="s">
        <v>50</v>
      </c>
      <c r="N46" s="6" t="s">
        <v>265</v>
      </c>
    </row>
    <row r="47" customFormat="false" ht="22.35" hidden="false" customHeight="false" outlineLevel="0" collapsed="false">
      <c r="A47" s="4" t="s">
        <v>59</v>
      </c>
      <c r="B47" s="6" t="s">
        <v>60</v>
      </c>
      <c r="C47" s="4" t="s">
        <v>377</v>
      </c>
      <c r="D47" s="6" t="s">
        <v>378</v>
      </c>
      <c r="E47" s="6" t="s">
        <v>184</v>
      </c>
      <c r="F47" s="6" t="s">
        <v>184</v>
      </c>
      <c r="G47" s="4" t="s">
        <v>148</v>
      </c>
      <c r="H47" s="6" t="s">
        <v>379</v>
      </c>
      <c r="I47" s="7" t="n">
        <v>80</v>
      </c>
      <c r="J47" s="7" t="n">
        <v>40</v>
      </c>
      <c r="K47" s="7" t="n">
        <v>100</v>
      </c>
      <c r="L47" s="4" t="s">
        <v>366</v>
      </c>
      <c r="M47" s="6" t="s">
        <v>50</v>
      </c>
      <c r="N47" s="6" t="s">
        <v>265</v>
      </c>
    </row>
    <row r="48" customFormat="false" ht="32.8" hidden="false" customHeight="false" outlineLevel="0" collapsed="false">
      <c r="A48" s="4" t="s">
        <v>65</v>
      </c>
      <c r="B48" s="6" t="s">
        <v>66</v>
      </c>
      <c r="C48" s="4" t="s">
        <v>384</v>
      </c>
      <c r="D48" s="6" t="s">
        <v>385</v>
      </c>
      <c r="E48" s="6" t="s">
        <v>184</v>
      </c>
      <c r="F48" s="6" t="s">
        <v>184</v>
      </c>
      <c r="G48" s="27" t="s">
        <v>370</v>
      </c>
      <c r="H48" s="6" t="s">
        <v>386</v>
      </c>
      <c r="I48" s="7"/>
      <c r="J48" s="7"/>
      <c r="K48" s="7" t="n">
        <v>80</v>
      </c>
      <c r="L48" s="4" t="s">
        <v>360</v>
      </c>
      <c r="M48" s="6" t="s">
        <v>50</v>
      </c>
      <c r="N48" s="6" t="s">
        <v>387</v>
      </c>
    </row>
    <row r="49" customFormat="false" ht="32.8" hidden="false" customHeight="false" outlineLevel="0" collapsed="false">
      <c r="A49" s="4" t="s">
        <v>65</v>
      </c>
      <c r="B49" s="6" t="s">
        <v>66</v>
      </c>
      <c r="C49" s="4" t="s">
        <v>388</v>
      </c>
      <c r="D49" s="6" t="s">
        <v>389</v>
      </c>
      <c r="E49" s="6" t="s">
        <v>184</v>
      </c>
      <c r="F49" s="6" t="s">
        <v>184</v>
      </c>
      <c r="G49" s="27" t="s">
        <v>370</v>
      </c>
      <c r="H49" s="6" t="s">
        <v>390</v>
      </c>
      <c r="I49" s="7"/>
      <c r="J49" s="7"/>
      <c r="K49" s="7" t="n">
        <v>160</v>
      </c>
      <c r="L49" s="4" t="s">
        <v>360</v>
      </c>
      <c r="M49" s="6" t="s">
        <v>50</v>
      </c>
      <c r="N49" s="6" t="s">
        <v>387</v>
      </c>
    </row>
    <row r="50" customFormat="false" ht="32.8" hidden="false" customHeight="false" outlineLevel="0" collapsed="false">
      <c r="A50" s="4" t="s">
        <v>65</v>
      </c>
      <c r="B50" s="6" t="s">
        <v>66</v>
      </c>
      <c r="C50" s="4" t="s">
        <v>391</v>
      </c>
      <c r="D50" s="6" t="s">
        <v>392</v>
      </c>
      <c r="E50" s="6" t="s">
        <v>184</v>
      </c>
      <c r="F50" s="6" t="s">
        <v>184</v>
      </c>
      <c r="G50" s="27" t="s">
        <v>370</v>
      </c>
      <c r="H50" s="6" t="s">
        <v>393</v>
      </c>
      <c r="I50" s="7"/>
      <c r="J50" s="7"/>
      <c r="K50" s="7" t="n">
        <v>180</v>
      </c>
      <c r="L50" s="4" t="s">
        <v>360</v>
      </c>
      <c r="M50" s="6" t="s">
        <v>50</v>
      </c>
      <c r="N50" s="6" t="s">
        <v>387</v>
      </c>
    </row>
    <row r="51" customFormat="false" ht="32.8" hidden="false" customHeight="false" outlineLevel="0" collapsed="false">
      <c r="A51" s="4" t="s">
        <v>65</v>
      </c>
      <c r="B51" s="6" t="s">
        <v>66</v>
      </c>
      <c r="C51" s="4" t="s">
        <v>394</v>
      </c>
      <c r="D51" s="6" t="s">
        <v>395</v>
      </c>
      <c r="E51" s="6" t="s">
        <v>184</v>
      </c>
      <c r="F51" s="6" t="s">
        <v>184</v>
      </c>
      <c r="G51" s="27" t="s">
        <v>370</v>
      </c>
      <c r="H51" s="6" t="s">
        <v>396</v>
      </c>
      <c r="I51" s="7"/>
      <c r="J51" s="7"/>
      <c r="K51" s="7" t="n">
        <v>100</v>
      </c>
      <c r="L51" s="4" t="s">
        <v>360</v>
      </c>
      <c r="M51" s="6" t="s">
        <v>50</v>
      </c>
      <c r="N51" s="6" t="s">
        <v>387</v>
      </c>
    </row>
    <row r="52" customFormat="false" ht="15" hidden="false" customHeight="false" outlineLevel="0" collapsed="false">
      <c r="A52" s="4" t="s">
        <v>71</v>
      </c>
      <c r="B52" s="6" t="s">
        <v>72</v>
      </c>
      <c r="C52" s="4" t="s">
        <v>401</v>
      </c>
      <c r="D52" s="6" t="s">
        <v>402</v>
      </c>
      <c r="E52" s="6" t="s">
        <v>184</v>
      </c>
      <c r="F52" s="6" t="s">
        <v>184</v>
      </c>
      <c r="G52" s="4" t="s">
        <v>148</v>
      </c>
      <c r="H52" s="6" t="s">
        <v>403</v>
      </c>
      <c r="I52" s="7" t="n">
        <v>8</v>
      </c>
      <c r="J52" s="7" t="n">
        <v>8</v>
      </c>
      <c r="K52" s="7" t="n">
        <v>200</v>
      </c>
      <c r="L52" s="4" t="s">
        <v>404</v>
      </c>
      <c r="M52" s="6" t="s">
        <v>50</v>
      </c>
      <c r="N52" s="6" t="s">
        <v>265</v>
      </c>
    </row>
    <row r="53" customFormat="false" ht="22.35" hidden="false" customHeight="false" outlineLevel="0" collapsed="false">
      <c r="A53" s="4" t="s">
        <v>71</v>
      </c>
      <c r="B53" s="6" t="s">
        <v>72</v>
      </c>
      <c r="C53" s="4" t="s">
        <v>407</v>
      </c>
      <c r="D53" s="6" t="s">
        <v>408</v>
      </c>
      <c r="E53" s="6" t="s">
        <v>616</v>
      </c>
      <c r="F53" s="6" t="s">
        <v>617</v>
      </c>
      <c r="G53" s="4" t="s">
        <v>148</v>
      </c>
      <c r="H53" s="6" t="s">
        <v>409</v>
      </c>
      <c r="I53" s="7" t="n">
        <v>20</v>
      </c>
      <c r="J53" s="7" t="n">
        <v>20</v>
      </c>
      <c r="K53" s="7" t="n">
        <v>320</v>
      </c>
      <c r="L53" s="4" t="s">
        <v>411</v>
      </c>
      <c r="M53" s="6" t="s">
        <v>50</v>
      </c>
      <c r="N53" s="6" t="s">
        <v>413</v>
      </c>
    </row>
    <row r="54" customFormat="false" ht="22.35" hidden="false" customHeight="false" outlineLevel="0" collapsed="false">
      <c r="A54" s="4" t="s">
        <v>71</v>
      </c>
      <c r="B54" s="6" t="s">
        <v>72</v>
      </c>
      <c r="C54" s="4" t="s">
        <v>414</v>
      </c>
      <c r="D54" s="6" t="s">
        <v>415</v>
      </c>
      <c r="E54" s="6" t="s">
        <v>612</v>
      </c>
      <c r="F54" s="6" t="s">
        <v>184</v>
      </c>
      <c r="G54" s="4" t="s">
        <v>148</v>
      </c>
      <c r="H54" s="6" t="s">
        <v>416</v>
      </c>
      <c r="I54" s="7" t="n">
        <v>16</v>
      </c>
      <c r="J54" s="7" t="n">
        <v>4</v>
      </c>
      <c r="K54" s="7" t="n">
        <v>40</v>
      </c>
      <c r="L54" s="4" t="s">
        <v>172</v>
      </c>
      <c r="M54" s="6" t="s">
        <v>50</v>
      </c>
      <c r="N54" s="6" t="s">
        <v>50</v>
      </c>
    </row>
    <row r="55" customFormat="false" ht="22.35" hidden="false" customHeight="false" outlineLevel="0" collapsed="false">
      <c r="A55" s="4" t="s">
        <v>77</v>
      </c>
      <c r="B55" s="6" t="s">
        <v>78</v>
      </c>
      <c r="C55" s="4" t="s">
        <v>422</v>
      </c>
      <c r="D55" s="6" t="s">
        <v>423</v>
      </c>
      <c r="E55" s="6" t="s">
        <v>184</v>
      </c>
      <c r="F55" s="6" t="s">
        <v>184</v>
      </c>
      <c r="G55" s="4" t="s">
        <v>148</v>
      </c>
      <c r="H55" s="6" t="s">
        <v>424</v>
      </c>
      <c r="I55" s="7" t="n">
        <v>96</v>
      </c>
      <c r="J55" s="7" t="n">
        <v>16</v>
      </c>
      <c r="K55" s="7" t="n">
        <v>420</v>
      </c>
      <c r="L55" s="4" t="s">
        <v>425</v>
      </c>
      <c r="M55" s="6" t="s">
        <v>50</v>
      </c>
      <c r="N55" s="6" t="s">
        <v>50</v>
      </c>
    </row>
    <row r="56" customFormat="false" ht="32.8" hidden="false" customHeight="false" outlineLevel="0" collapsed="false">
      <c r="A56" s="4" t="s">
        <v>77</v>
      </c>
      <c r="B56" s="6" t="s">
        <v>78</v>
      </c>
      <c r="C56" s="4" t="s">
        <v>426</v>
      </c>
      <c r="D56" s="6" t="s">
        <v>427</v>
      </c>
      <c r="E56" s="6" t="s">
        <v>184</v>
      </c>
      <c r="F56" s="6" t="s">
        <v>611</v>
      </c>
      <c r="G56" s="4" t="s">
        <v>148</v>
      </c>
      <c r="H56" s="6" t="s">
        <v>428</v>
      </c>
      <c r="I56" s="7" t="n">
        <v>48</v>
      </c>
      <c r="J56" s="7" t="n">
        <v>8</v>
      </c>
      <c r="K56" s="7" t="n">
        <v>200</v>
      </c>
      <c r="L56" s="4" t="s">
        <v>404</v>
      </c>
      <c r="M56" s="6" t="s">
        <v>50</v>
      </c>
      <c r="N56" s="6" t="s">
        <v>50</v>
      </c>
    </row>
    <row r="57" customFormat="false" ht="22.35" hidden="false" customHeight="false" outlineLevel="0" collapsed="false">
      <c r="A57" s="4" t="s">
        <v>77</v>
      </c>
      <c r="B57" s="6" t="s">
        <v>78</v>
      </c>
      <c r="C57" s="4" t="s">
        <v>430</v>
      </c>
      <c r="D57" s="6" t="s">
        <v>431</v>
      </c>
      <c r="E57" s="6" t="s">
        <v>612</v>
      </c>
      <c r="F57" s="6" t="s">
        <v>611</v>
      </c>
      <c r="G57" s="4" t="s">
        <v>148</v>
      </c>
      <c r="H57" s="6" t="s">
        <v>432</v>
      </c>
      <c r="I57" s="7" t="n">
        <v>40</v>
      </c>
      <c r="J57" s="7" t="n">
        <v>8</v>
      </c>
      <c r="K57" s="7" t="n">
        <v>80</v>
      </c>
      <c r="L57" s="4" t="s">
        <v>404</v>
      </c>
      <c r="M57" s="6" t="s">
        <v>50</v>
      </c>
      <c r="N57" s="6" t="s">
        <v>50</v>
      </c>
    </row>
    <row r="58" customFormat="false" ht="22.35" hidden="false" customHeight="false" outlineLevel="0" collapsed="false">
      <c r="A58" s="4" t="s">
        <v>77</v>
      </c>
      <c r="B58" s="6" t="s">
        <v>78</v>
      </c>
      <c r="C58" s="4" t="s">
        <v>434</v>
      </c>
      <c r="D58" s="6" t="s">
        <v>435</v>
      </c>
      <c r="E58" s="6" t="s">
        <v>612</v>
      </c>
      <c r="F58" s="6" t="s">
        <v>184</v>
      </c>
      <c r="G58" s="4" t="s">
        <v>148</v>
      </c>
      <c r="H58" s="6" t="s">
        <v>436</v>
      </c>
      <c r="I58" s="7" t="n">
        <v>8</v>
      </c>
      <c r="J58" s="7" t="n">
        <v>2</v>
      </c>
      <c r="K58" s="7" t="n">
        <v>24</v>
      </c>
      <c r="L58" s="4" t="s">
        <v>165</v>
      </c>
      <c r="M58" s="6" t="s">
        <v>50</v>
      </c>
      <c r="N58" s="6" t="s">
        <v>50</v>
      </c>
    </row>
    <row r="59" customFormat="false" ht="15" hidden="false" customHeight="false" outlineLevel="0" collapsed="false">
      <c r="A59" s="4" t="s">
        <v>77</v>
      </c>
      <c r="B59" s="6" t="s">
        <v>78</v>
      </c>
      <c r="C59" s="4" t="s">
        <v>437</v>
      </c>
      <c r="D59" s="6" t="s">
        <v>438</v>
      </c>
      <c r="E59" s="6" t="s">
        <v>612</v>
      </c>
      <c r="F59" s="6" t="s">
        <v>184</v>
      </c>
      <c r="G59" s="4" t="s">
        <v>148</v>
      </c>
      <c r="H59" s="6" t="s">
        <v>439</v>
      </c>
      <c r="I59" s="7" t="n">
        <v>26</v>
      </c>
      <c r="J59" s="7" t="n">
        <v>6</v>
      </c>
      <c r="K59" s="7" t="n">
        <v>80</v>
      </c>
      <c r="L59" s="4" t="s">
        <v>350</v>
      </c>
      <c r="M59" s="6" t="s">
        <v>50</v>
      </c>
      <c r="N59" s="6" t="s">
        <v>50</v>
      </c>
    </row>
    <row r="60" customFormat="false" ht="15" hidden="false" customHeight="false" outlineLevel="0" collapsed="false">
      <c r="A60" s="4" t="s">
        <v>83</v>
      </c>
      <c r="B60" s="6" t="s">
        <v>84</v>
      </c>
      <c r="C60" s="4" t="s">
        <v>444</v>
      </c>
      <c r="D60" s="6" t="s">
        <v>445</v>
      </c>
      <c r="E60" s="6" t="s">
        <v>184</v>
      </c>
      <c r="F60" s="6" t="s">
        <v>184</v>
      </c>
      <c r="G60" s="4" t="s">
        <v>148</v>
      </c>
      <c r="H60" s="6" t="s">
        <v>446</v>
      </c>
      <c r="I60" s="7" t="n">
        <v>240</v>
      </c>
      <c r="J60" s="7" t="n">
        <v>120</v>
      </c>
      <c r="K60" s="7" t="n">
        <v>275</v>
      </c>
      <c r="L60" s="4" t="s">
        <v>295</v>
      </c>
      <c r="M60" s="6" t="s">
        <v>50</v>
      </c>
      <c r="N60" s="6" t="s">
        <v>265</v>
      </c>
    </row>
    <row r="61" customFormat="false" ht="32.8" hidden="false" customHeight="false" outlineLevel="0" collapsed="false">
      <c r="A61" s="4" t="s">
        <v>83</v>
      </c>
      <c r="B61" s="6" t="s">
        <v>84</v>
      </c>
      <c r="C61" s="4" t="s">
        <v>447</v>
      </c>
      <c r="D61" s="6" t="s">
        <v>448</v>
      </c>
      <c r="E61" s="6" t="s">
        <v>612</v>
      </c>
      <c r="F61" s="6" t="s">
        <v>611</v>
      </c>
      <c r="G61" s="4" t="s">
        <v>148</v>
      </c>
      <c r="H61" s="6" t="s">
        <v>449</v>
      </c>
      <c r="I61" s="7" t="n">
        <v>1</v>
      </c>
      <c r="J61" s="7" t="n">
        <v>1</v>
      </c>
      <c r="K61" s="7" t="n">
        <v>120</v>
      </c>
      <c r="L61" s="4" t="s">
        <v>149</v>
      </c>
      <c r="M61" s="6" t="s">
        <v>50</v>
      </c>
      <c r="N61" s="6" t="s">
        <v>451</v>
      </c>
    </row>
    <row r="62" customFormat="false" ht="22.35" hidden="false" customHeight="false" outlineLevel="0" collapsed="false">
      <c r="A62" s="4" t="s">
        <v>83</v>
      </c>
      <c r="B62" s="6" t="s">
        <v>84</v>
      </c>
      <c r="C62" s="4" t="s">
        <v>452</v>
      </c>
      <c r="D62" s="6" t="s">
        <v>453</v>
      </c>
      <c r="E62" s="6" t="s">
        <v>612</v>
      </c>
      <c r="F62" s="6" t="s">
        <v>184</v>
      </c>
      <c r="G62" s="4" t="s">
        <v>148</v>
      </c>
      <c r="H62" s="6" t="s">
        <v>454</v>
      </c>
      <c r="I62" s="7" t="n">
        <v>11</v>
      </c>
      <c r="J62" s="7" t="n">
        <v>3</v>
      </c>
      <c r="K62" s="7" t="n">
        <v>32</v>
      </c>
      <c r="L62" s="4" t="s">
        <v>221</v>
      </c>
      <c r="M62" s="6" t="s">
        <v>50</v>
      </c>
      <c r="N62" s="6" t="s">
        <v>50</v>
      </c>
    </row>
    <row r="63" customFormat="false" ht="22.35" hidden="false" customHeight="false" outlineLevel="0" collapsed="false">
      <c r="A63" s="4" t="s">
        <v>83</v>
      </c>
      <c r="B63" s="6" t="s">
        <v>84</v>
      </c>
      <c r="C63" s="4" t="s">
        <v>455</v>
      </c>
      <c r="D63" s="6" t="s">
        <v>456</v>
      </c>
      <c r="E63" s="6" t="s">
        <v>612</v>
      </c>
      <c r="F63" s="6" t="s">
        <v>184</v>
      </c>
      <c r="G63" s="4" t="s">
        <v>148</v>
      </c>
      <c r="H63" s="6" t="s">
        <v>457</v>
      </c>
      <c r="I63" s="7" t="n">
        <v>20</v>
      </c>
      <c r="J63" s="7" t="n">
        <v>4</v>
      </c>
      <c r="K63" s="7" t="n">
        <v>60</v>
      </c>
      <c r="L63" s="4" t="s">
        <v>172</v>
      </c>
      <c r="M63" s="6" t="s">
        <v>50</v>
      </c>
      <c r="N63" s="6" t="s">
        <v>50</v>
      </c>
    </row>
    <row r="64" customFormat="false" ht="22.35" hidden="false" customHeight="false" outlineLevel="0" collapsed="false">
      <c r="A64" s="4" t="s">
        <v>83</v>
      </c>
      <c r="B64" s="6" t="s">
        <v>84</v>
      </c>
      <c r="C64" s="4" t="s">
        <v>458</v>
      </c>
      <c r="D64" s="6" t="s">
        <v>459</v>
      </c>
      <c r="E64" s="6" t="s">
        <v>612</v>
      </c>
      <c r="F64" s="6" t="s">
        <v>184</v>
      </c>
      <c r="G64" s="4" t="s">
        <v>148</v>
      </c>
      <c r="H64" s="6" t="s">
        <v>460</v>
      </c>
      <c r="I64" s="7" t="n">
        <v>20</v>
      </c>
      <c r="J64" s="7" t="n">
        <v>4</v>
      </c>
      <c r="K64" s="7" t="n">
        <v>60</v>
      </c>
      <c r="L64" s="4" t="s">
        <v>172</v>
      </c>
      <c r="M64" s="6" t="s">
        <v>50</v>
      </c>
      <c r="N64" s="6" t="s">
        <v>50</v>
      </c>
    </row>
    <row r="65" customFormat="false" ht="22.35" hidden="false" customHeight="false" outlineLevel="0" collapsed="false">
      <c r="A65" s="4" t="s">
        <v>83</v>
      </c>
      <c r="B65" s="6" t="s">
        <v>84</v>
      </c>
      <c r="C65" s="4" t="s">
        <v>461</v>
      </c>
      <c r="D65" s="6" t="s">
        <v>462</v>
      </c>
      <c r="E65" s="6" t="s">
        <v>612</v>
      </c>
      <c r="F65" s="6" t="s">
        <v>611</v>
      </c>
      <c r="G65" s="4" t="s">
        <v>148</v>
      </c>
      <c r="H65" s="6" t="s">
        <v>463</v>
      </c>
      <c r="I65" s="7" t="n">
        <v>1</v>
      </c>
      <c r="J65" s="7" t="n">
        <v>1</v>
      </c>
      <c r="K65" s="7" t="n">
        <v>40</v>
      </c>
      <c r="L65" s="4" t="s">
        <v>149</v>
      </c>
      <c r="M65" s="6" t="s">
        <v>50</v>
      </c>
      <c r="N65" s="6" t="s">
        <v>464</v>
      </c>
    </row>
    <row r="66" customFormat="false" ht="22.35" hidden="false" customHeight="false" outlineLevel="0" collapsed="false">
      <c r="A66" s="4" t="s">
        <v>83</v>
      </c>
      <c r="B66" s="6" t="s">
        <v>84</v>
      </c>
      <c r="C66" s="4" t="s">
        <v>465</v>
      </c>
      <c r="D66" s="6" t="s">
        <v>466</v>
      </c>
      <c r="E66" s="6" t="s">
        <v>612</v>
      </c>
      <c r="F66" s="6" t="s">
        <v>184</v>
      </c>
      <c r="G66" s="4" t="s">
        <v>148</v>
      </c>
      <c r="H66" s="6" t="s">
        <v>467</v>
      </c>
      <c r="I66" s="7" t="n">
        <v>3</v>
      </c>
      <c r="J66" s="7" t="n">
        <v>1</v>
      </c>
      <c r="K66" s="7" t="n">
        <v>8</v>
      </c>
      <c r="L66" s="4" t="s">
        <v>149</v>
      </c>
      <c r="M66" s="6" t="s">
        <v>50</v>
      </c>
      <c r="N66" s="6" t="s">
        <v>50</v>
      </c>
    </row>
    <row r="67" customFormat="false" ht="22.35" hidden="false" customHeight="false" outlineLevel="0" collapsed="false">
      <c r="A67" s="4" t="s">
        <v>83</v>
      </c>
      <c r="B67" s="6" t="s">
        <v>84</v>
      </c>
      <c r="C67" s="4" t="s">
        <v>468</v>
      </c>
      <c r="D67" s="6" t="s">
        <v>469</v>
      </c>
      <c r="E67" s="6" t="s">
        <v>612</v>
      </c>
      <c r="F67" s="6" t="s">
        <v>184</v>
      </c>
      <c r="G67" s="4" t="s">
        <v>148</v>
      </c>
      <c r="H67" s="6" t="s">
        <v>470</v>
      </c>
      <c r="I67" s="7" t="n">
        <v>5</v>
      </c>
      <c r="J67" s="7" t="n">
        <v>1</v>
      </c>
      <c r="K67" s="7" t="n">
        <v>16</v>
      </c>
      <c r="L67" s="4" t="s">
        <v>149</v>
      </c>
      <c r="M67" s="6" t="s">
        <v>50</v>
      </c>
      <c r="N67" s="6" t="s">
        <v>50</v>
      </c>
    </row>
    <row r="68" customFormat="false" ht="22.35" hidden="false" customHeight="false" outlineLevel="0" collapsed="false">
      <c r="A68" s="4" t="s">
        <v>83</v>
      </c>
      <c r="B68" s="6" t="s">
        <v>84</v>
      </c>
      <c r="C68" s="4" t="s">
        <v>471</v>
      </c>
      <c r="D68" s="6" t="s">
        <v>472</v>
      </c>
      <c r="E68" s="6" t="s">
        <v>618</v>
      </c>
      <c r="F68" s="6" t="s">
        <v>617</v>
      </c>
      <c r="G68" s="4" t="s">
        <v>148</v>
      </c>
      <c r="H68" s="6" t="s">
        <v>473</v>
      </c>
      <c r="I68" s="7" t="n">
        <v>6</v>
      </c>
      <c r="J68" s="7" t="n">
        <v>2</v>
      </c>
      <c r="K68" s="7" t="n">
        <v>24</v>
      </c>
      <c r="L68" s="4" t="s">
        <v>165</v>
      </c>
      <c r="M68" s="6" t="s">
        <v>88</v>
      </c>
      <c r="N68" s="6" t="s">
        <v>50</v>
      </c>
    </row>
    <row r="69" customFormat="false" ht="32.8" hidden="false" customHeight="false" outlineLevel="0" collapsed="false">
      <c r="A69" s="4" t="s">
        <v>90</v>
      </c>
      <c r="B69" s="6" t="s">
        <v>91</v>
      </c>
      <c r="C69" s="4" t="s">
        <v>480</v>
      </c>
      <c r="D69" s="6" t="s">
        <v>481</v>
      </c>
      <c r="E69" s="6" t="s">
        <v>609</v>
      </c>
      <c r="F69" s="6" t="s">
        <v>610</v>
      </c>
      <c r="G69" s="4" t="s">
        <v>148</v>
      </c>
      <c r="H69" s="6" t="s">
        <v>482</v>
      </c>
      <c r="I69" s="7" t="n">
        <v>5</v>
      </c>
      <c r="J69" s="7" t="n">
        <v>1</v>
      </c>
      <c r="K69" s="7" t="n">
        <v>16</v>
      </c>
      <c r="L69" s="4" t="s">
        <v>149</v>
      </c>
      <c r="M69" s="6" t="s">
        <v>483</v>
      </c>
      <c r="N69" s="6" t="s">
        <v>50</v>
      </c>
    </row>
    <row r="70" customFormat="false" ht="22.35" hidden="false" customHeight="false" outlineLevel="0" collapsed="false">
      <c r="A70" s="4" t="s">
        <v>90</v>
      </c>
      <c r="B70" s="6" t="s">
        <v>91</v>
      </c>
      <c r="C70" s="4" t="s">
        <v>485</v>
      </c>
      <c r="D70" s="6" t="s">
        <v>486</v>
      </c>
      <c r="E70" s="6" t="s">
        <v>609</v>
      </c>
      <c r="F70" s="6" t="s">
        <v>184</v>
      </c>
      <c r="G70" s="4" t="s">
        <v>148</v>
      </c>
      <c r="H70" s="6" t="s">
        <v>487</v>
      </c>
      <c r="I70" s="7" t="n">
        <v>16</v>
      </c>
      <c r="J70" s="7" t="n">
        <v>4</v>
      </c>
      <c r="K70" s="7" t="n">
        <v>40</v>
      </c>
      <c r="L70" s="4" t="s">
        <v>172</v>
      </c>
      <c r="M70" s="6" t="s">
        <v>488</v>
      </c>
      <c r="N70" s="6" t="s">
        <v>50</v>
      </c>
    </row>
    <row r="71" customFormat="false" ht="32.8" hidden="false" customHeight="false" outlineLevel="0" collapsed="false">
      <c r="A71" s="4" t="s">
        <v>90</v>
      </c>
      <c r="B71" s="6" t="s">
        <v>91</v>
      </c>
      <c r="C71" s="4" t="s">
        <v>490</v>
      </c>
      <c r="D71" s="6" t="s">
        <v>491</v>
      </c>
      <c r="E71" s="6" t="s">
        <v>609</v>
      </c>
      <c r="F71" s="6" t="s">
        <v>184</v>
      </c>
      <c r="G71" s="4" t="s">
        <v>148</v>
      </c>
      <c r="H71" s="6" t="s">
        <v>492</v>
      </c>
      <c r="I71" s="7" t="n">
        <v>8</v>
      </c>
      <c r="J71" s="7" t="n">
        <v>2</v>
      </c>
      <c r="K71" s="7" t="n">
        <v>24</v>
      </c>
      <c r="L71" s="4" t="s">
        <v>165</v>
      </c>
      <c r="M71" s="6" t="s">
        <v>493</v>
      </c>
      <c r="N71" s="6" t="s">
        <v>50</v>
      </c>
    </row>
    <row r="72" customFormat="false" ht="15" hidden="false" customHeight="false" outlineLevel="0" collapsed="false">
      <c r="A72" s="4" t="s">
        <v>90</v>
      </c>
      <c r="B72" s="6" t="s">
        <v>91</v>
      </c>
      <c r="C72" s="4" t="s">
        <v>495</v>
      </c>
      <c r="D72" s="6" t="s">
        <v>496</v>
      </c>
      <c r="E72" s="6" t="s">
        <v>609</v>
      </c>
      <c r="F72" s="6" t="s">
        <v>184</v>
      </c>
      <c r="G72" s="4" t="s">
        <v>148</v>
      </c>
      <c r="H72" s="6" t="s">
        <v>497</v>
      </c>
      <c r="I72" s="7" t="n">
        <v>16</v>
      </c>
      <c r="J72" s="7" t="n">
        <v>4</v>
      </c>
      <c r="K72" s="7" t="n">
        <v>48</v>
      </c>
      <c r="L72" s="4" t="s">
        <v>172</v>
      </c>
      <c r="M72" s="6" t="s">
        <v>498</v>
      </c>
      <c r="N72" s="6" t="s">
        <v>50</v>
      </c>
    </row>
    <row r="73" customFormat="false" ht="22.35" hidden="false" customHeight="false" outlineLevel="0" collapsed="false">
      <c r="A73" s="4" t="s">
        <v>90</v>
      </c>
      <c r="B73" s="6" t="s">
        <v>91</v>
      </c>
      <c r="C73" s="4" t="s">
        <v>500</v>
      </c>
      <c r="D73" s="6" t="s">
        <v>501</v>
      </c>
      <c r="E73" s="6" t="s">
        <v>609</v>
      </c>
      <c r="F73" s="6" t="s">
        <v>610</v>
      </c>
      <c r="G73" s="4" t="s">
        <v>148</v>
      </c>
      <c r="H73" s="6" t="s">
        <v>502</v>
      </c>
      <c r="I73" s="7" t="n">
        <v>8</v>
      </c>
      <c r="J73" s="7" t="n">
        <v>2</v>
      </c>
      <c r="K73" s="7" t="n">
        <v>24</v>
      </c>
      <c r="L73" s="4" t="s">
        <v>165</v>
      </c>
      <c r="M73" s="6" t="s">
        <v>50</v>
      </c>
      <c r="N73" s="6" t="s">
        <v>50</v>
      </c>
    </row>
    <row r="74" customFormat="false" ht="22.35" hidden="false" customHeight="false" outlineLevel="0" collapsed="false">
      <c r="A74" s="4" t="s">
        <v>90</v>
      </c>
      <c r="B74" s="6" t="s">
        <v>91</v>
      </c>
      <c r="C74" s="4" t="s">
        <v>503</v>
      </c>
      <c r="D74" s="6" t="s">
        <v>504</v>
      </c>
      <c r="E74" s="6" t="s">
        <v>612</v>
      </c>
      <c r="F74" s="6" t="s">
        <v>184</v>
      </c>
      <c r="G74" s="4" t="s">
        <v>148</v>
      </c>
      <c r="H74" s="6" t="s">
        <v>505</v>
      </c>
      <c r="I74" s="7" t="n">
        <v>11</v>
      </c>
      <c r="J74" s="7" t="n">
        <v>3</v>
      </c>
      <c r="K74" s="7" t="n">
        <v>32</v>
      </c>
      <c r="L74" s="4" t="s">
        <v>221</v>
      </c>
      <c r="M74" s="6" t="s">
        <v>50</v>
      </c>
      <c r="N74" s="6" t="s">
        <v>50</v>
      </c>
    </row>
    <row r="75" customFormat="false" ht="22.35" hidden="false" customHeight="false" outlineLevel="0" collapsed="false">
      <c r="A75" s="4" t="s">
        <v>97</v>
      </c>
      <c r="B75" s="6" t="s">
        <v>98</v>
      </c>
      <c r="C75" s="4" t="s">
        <v>510</v>
      </c>
      <c r="D75" s="6" t="s">
        <v>511</v>
      </c>
      <c r="E75" s="6" t="s">
        <v>618</v>
      </c>
      <c r="F75" s="6" t="s">
        <v>611</v>
      </c>
      <c r="G75" s="4" t="s">
        <v>148</v>
      </c>
      <c r="H75" s="6" t="s">
        <v>512</v>
      </c>
      <c r="I75" s="7"/>
      <c r="J75" s="7"/>
      <c r="K75" s="7" t="n">
        <v>80</v>
      </c>
      <c r="L75" s="4" t="s">
        <v>360</v>
      </c>
      <c r="M75" s="6" t="s">
        <v>514</v>
      </c>
      <c r="N75" s="6" t="s">
        <v>50</v>
      </c>
    </row>
    <row r="76" customFormat="false" ht="15" hidden="false" customHeight="false" outlineLevel="0" collapsed="false">
      <c r="A76" s="4" t="s">
        <v>97</v>
      </c>
      <c r="B76" s="6" t="s">
        <v>98</v>
      </c>
      <c r="C76" s="4" t="s">
        <v>516</v>
      </c>
      <c r="D76" s="6" t="s">
        <v>517</v>
      </c>
      <c r="E76" s="6" t="s">
        <v>619</v>
      </c>
      <c r="F76" s="6" t="s">
        <v>617</v>
      </c>
      <c r="G76" s="4" t="s">
        <v>148</v>
      </c>
      <c r="H76" s="6" t="s">
        <v>518</v>
      </c>
      <c r="I76" s="7" t="n">
        <v>3</v>
      </c>
      <c r="J76" s="7" t="n">
        <v>1</v>
      </c>
      <c r="K76" s="7" t="n">
        <v>24</v>
      </c>
      <c r="L76" s="4" t="s">
        <v>149</v>
      </c>
      <c r="M76" s="6" t="s">
        <v>520</v>
      </c>
      <c r="N76" s="6" t="s">
        <v>50</v>
      </c>
    </row>
    <row r="77" customFormat="false" ht="32.8" hidden="false" customHeight="false" outlineLevel="0" collapsed="false">
      <c r="A77" s="4" t="s">
        <v>97</v>
      </c>
      <c r="B77" s="6" t="s">
        <v>98</v>
      </c>
      <c r="C77" s="4" t="s">
        <v>522</v>
      </c>
      <c r="D77" s="6" t="s">
        <v>523</v>
      </c>
      <c r="E77" s="6" t="s">
        <v>620</v>
      </c>
      <c r="F77" s="6" t="s">
        <v>621</v>
      </c>
      <c r="G77" s="4" t="s">
        <v>148</v>
      </c>
      <c r="H77" s="6" t="s">
        <v>524</v>
      </c>
      <c r="I77" s="7" t="n">
        <v>1</v>
      </c>
      <c r="J77" s="7" t="n">
        <v>1</v>
      </c>
      <c r="K77" s="7" t="n">
        <v>24</v>
      </c>
      <c r="L77" s="4" t="s">
        <v>149</v>
      </c>
      <c r="M77" s="6" t="s">
        <v>526</v>
      </c>
      <c r="N77" s="6" t="s">
        <v>529</v>
      </c>
    </row>
    <row r="78" customFormat="false" ht="22.35" hidden="false" customHeight="false" outlineLevel="0" collapsed="false">
      <c r="A78" s="4" t="s">
        <v>97</v>
      </c>
      <c r="B78" s="6" t="s">
        <v>98</v>
      </c>
      <c r="C78" s="4" t="s">
        <v>530</v>
      </c>
      <c r="D78" s="6" t="s">
        <v>531</v>
      </c>
      <c r="E78" s="6" t="s">
        <v>612</v>
      </c>
      <c r="F78" s="6" t="s">
        <v>611</v>
      </c>
      <c r="G78" s="4" t="s">
        <v>148</v>
      </c>
      <c r="H78" s="6" t="s">
        <v>532</v>
      </c>
      <c r="I78" s="7" t="n">
        <v>2</v>
      </c>
      <c r="J78" s="7" t="n">
        <v>2</v>
      </c>
      <c r="K78" s="7" t="n">
        <v>160</v>
      </c>
      <c r="L78" s="4" t="s">
        <v>165</v>
      </c>
      <c r="M78" s="6" t="s">
        <v>50</v>
      </c>
      <c r="N78" s="6" t="s">
        <v>535</v>
      </c>
    </row>
    <row r="79" customFormat="false" ht="22.35" hidden="false" customHeight="false" outlineLevel="0" collapsed="false">
      <c r="A79" s="4" t="s">
        <v>104</v>
      </c>
      <c r="B79" s="6" t="s">
        <v>105</v>
      </c>
      <c r="C79" s="4" t="s">
        <v>540</v>
      </c>
      <c r="D79" s="6" t="s">
        <v>541</v>
      </c>
      <c r="E79" s="6" t="s">
        <v>609</v>
      </c>
      <c r="F79" s="6" t="s">
        <v>617</v>
      </c>
      <c r="G79" s="4" t="s">
        <v>148</v>
      </c>
      <c r="H79" s="6" t="s">
        <v>542</v>
      </c>
      <c r="I79" s="7"/>
      <c r="J79" s="7"/>
      <c r="K79" s="7" t="n">
        <v>40</v>
      </c>
      <c r="L79" s="4" t="s">
        <v>360</v>
      </c>
      <c r="M79" s="6" t="s">
        <v>526</v>
      </c>
      <c r="N79" s="6" t="s">
        <v>50</v>
      </c>
    </row>
    <row r="80" customFormat="false" ht="15" hidden="false" customHeight="false" outlineLevel="0" collapsed="false">
      <c r="A80" s="4" t="s">
        <v>104</v>
      </c>
      <c r="B80" s="6" t="s">
        <v>105</v>
      </c>
      <c r="C80" s="4" t="s">
        <v>545</v>
      </c>
      <c r="D80" s="6" t="s">
        <v>546</v>
      </c>
      <c r="E80" s="6" t="s">
        <v>609</v>
      </c>
      <c r="F80" s="6" t="s">
        <v>610</v>
      </c>
      <c r="G80" s="4" t="s">
        <v>148</v>
      </c>
      <c r="H80" s="6" t="s">
        <v>547</v>
      </c>
      <c r="I80" s="7" t="n">
        <v>3</v>
      </c>
      <c r="J80" s="7" t="n">
        <v>1</v>
      </c>
      <c r="K80" s="7" t="n">
        <v>8</v>
      </c>
      <c r="L80" s="4" t="s">
        <v>149</v>
      </c>
      <c r="M80" s="6" t="s">
        <v>526</v>
      </c>
      <c r="N80" s="6" t="s">
        <v>50</v>
      </c>
    </row>
    <row r="81" customFormat="false" ht="22.35" hidden="false" customHeight="false" outlineLevel="0" collapsed="false">
      <c r="A81" s="4" t="s">
        <v>104</v>
      </c>
      <c r="B81" s="6" t="s">
        <v>105</v>
      </c>
      <c r="C81" s="4" t="s">
        <v>549</v>
      </c>
      <c r="D81" s="6" t="s">
        <v>550</v>
      </c>
      <c r="E81" s="6" t="s">
        <v>609</v>
      </c>
      <c r="F81" s="6" t="s">
        <v>610</v>
      </c>
      <c r="G81" s="4" t="s">
        <v>148</v>
      </c>
      <c r="H81" s="6" t="s">
        <v>551</v>
      </c>
      <c r="I81" s="7" t="n">
        <v>3</v>
      </c>
      <c r="J81" s="7" t="n">
        <v>1</v>
      </c>
      <c r="K81" s="7" t="n">
        <v>8</v>
      </c>
      <c r="L81" s="4" t="s">
        <v>149</v>
      </c>
      <c r="M81" s="6" t="s">
        <v>552</v>
      </c>
      <c r="N81" s="6" t="s">
        <v>50</v>
      </c>
    </row>
    <row r="82" customFormat="false" ht="43.25" hidden="false" customHeight="false" outlineLevel="0" collapsed="false">
      <c r="A82" s="4" t="s">
        <v>104</v>
      </c>
      <c r="B82" s="6" t="s">
        <v>105</v>
      </c>
      <c r="C82" s="4" t="s">
        <v>554</v>
      </c>
      <c r="D82" s="6" t="s">
        <v>555</v>
      </c>
      <c r="E82" s="6" t="s">
        <v>609</v>
      </c>
      <c r="F82" s="6" t="s">
        <v>610</v>
      </c>
      <c r="G82" s="4" t="s">
        <v>148</v>
      </c>
      <c r="H82" s="6" t="s">
        <v>556</v>
      </c>
      <c r="I82" s="7" t="n">
        <v>5</v>
      </c>
      <c r="J82" s="7" t="n">
        <v>1</v>
      </c>
      <c r="K82" s="7" t="n">
        <v>16</v>
      </c>
      <c r="L82" s="4" t="s">
        <v>149</v>
      </c>
      <c r="M82" s="6" t="s">
        <v>557</v>
      </c>
      <c r="N82" s="6" t="s">
        <v>50</v>
      </c>
    </row>
    <row r="83" customFormat="false" ht="53.7" hidden="false" customHeight="false" outlineLevel="0" collapsed="false">
      <c r="A83" s="4" t="s">
        <v>111</v>
      </c>
      <c r="B83" s="6" t="s">
        <v>112</v>
      </c>
      <c r="C83" s="4" t="s">
        <v>563</v>
      </c>
      <c r="D83" s="6" t="s">
        <v>564</v>
      </c>
      <c r="E83" s="6" t="s">
        <v>612</v>
      </c>
      <c r="F83" s="6" t="s">
        <v>611</v>
      </c>
      <c r="G83" s="4" t="s">
        <v>148</v>
      </c>
      <c r="H83" s="6" t="s">
        <v>565</v>
      </c>
      <c r="I83" s="7" t="n">
        <v>3</v>
      </c>
      <c r="J83" s="7" t="n">
        <v>3</v>
      </c>
      <c r="K83" s="7" t="n">
        <v>60</v>
      </c>
      <c r="L83" s="4" t="s">
        <v>221</v>
      </c>
      <c r="M83" s="6" t="s">
        <v>566</v>
      </c>
      <c r="N83" s="6" t="s">
        <v>568</v>
      </c>
    </row>
    <row r="84" customFormat="false" ht="22.35" hidden="false" customHeight="false" outlineLevel="0" collapsed="false">
      <c r="A84" s="4" t="s">
        <v>111</v>
      </c>
      <c r="B84" s="6" t="s">
        <v>112</v>
      </c>
      <c r="C84" s="4" t="s">
        <v>569</v>
      </c>
      <c r="D84" s="6" t="s">
        <v>570</v>
      </c>
      <c r="E84" s="6" t="s">
        <v>612</v>
      </c>
      <c r="F84" s="6" t="s">
        <v>611</v>
      </c>
      <c r="G84" s="4" t="s">
        <v>148</v>
      </c>
      <c r="H84" s="6" t="s">
        <v>571</v>
      </c>
      <c r="I84" s="7" t="n">
        <v>3</v>
      </c>
      <c r="J84" s="7" t="n">
        <v>3</v>
      </c>
      <c r="K84" s="7" t="n">
        <v>240</v>
      </c>
      <c r="L84" s="4" t="s">
        <v>221</v>
      </c>
      <c r="M84" s="6" t="s">
        <v>572</v>
      </c>
      <c r="N84" s="6" t="s">
        <v>574</v>
      </c>
    </row>
    <row r="85" customFormat="false" ht="22.35" hidden="false" customHeight="false" outlineLevel="0" collapsed="false">
      <c r="A85" s="4" t="s">
        <v>111</v>
      </c>
      <c r="B85" s="6" t="s">
        <v>112</v>
      </c>
      <c r="C85" s="4" t="s">
        <v>575</v>
      </c>
      <c r="D85" s="6" t="s">
        <v>576</v>
      </c>
      <c r="E85" s="6" t="s">
        <v>612</v>
      </c>
      <c r="F85" s="6" t="s">
        <v>611</v>
      </c>
      <c r="G85" s="4" t="s">
        <v>148</v>
      </c>
      <c r="H85" s="6" t="s">
        <v>577</v>
      </c>
      <c r="I85" s="7" t="n">
        <v>1</v>
      </c>
      <c r="J85" s="7" t="n">
        <v>1</v>
      </c>
      <c r="K85" s="7" t="n">
        <v>60</v>
      </c>
      <c r="L85" s="4" t="s">
        <v>149</v>
      </c>
      <c r="M85" s="6" t="s">
        <v>578</v>
      </c>
      <c r="N85" s="6" t="s">
        <v>580</v>
      </c>
    </row>
    <row r="86" customFormat="false" ht="22.35" hidden="false" customHeight="false" outlineLevel="0" collapsed="false">
      <c r="A86" s="4" t="s">
        <v>111</v>
      </c>
      <c r="B86" s="6" t="s">
        <v>112</v>
      </c>
      <c r="C86" s="4" t="s">
        <v>581</v>
      </c>
      <c r="D86" s="6" t="s">
        <v>582</v>
      </c>
      <c r="E86" s="6" t="s">
        <v>612</v>
      </c>
      <c r="F86" s="6" t="s">
        <v>611</v>
      </c>
      <c r="G86" s="4" t="s">
        <v>148</v>
      </c>
      <c r="H86" s="6" t="s">
        <v>583</v>
      </c>
      <c r="I86" s="7" t="n">
        <v>1</v>
      </c>
      <c r="J86" s="7" t="n">
        <v>1</v>
      </c>
      <c r="K86" s="7" t="n">
        <v>120</v>
      </c>
      <c r="L86" s="4" t="s">
        <v>149</v>
      </c>
      <c r="M86" s="6" t="s">
        <v>50</v>
      </c>
      <c r="N86" s="6" t="s">
        <v>584</v>
      </c>
    </row>
    <row r="87" customFormat="false" ht="22.35" hidden="false" customHeight="false" outlineLevel="0" collapsed="false">
      <c r="A87" s="4" t="s">
        <v>111</v>
      </c>
      <c r="B87" s="6" t="s">
        <v>112</v>
      </c>
      <c r="C87" s="4" t="s">
        <v>585</v>
      </c>
      <c r="D87" s="6" t="s">
        <v>586</v>
      </c>
      <c r="E87" s="6" t="s">
        <v>618</v>
      </c>
      <c r="F87" s="6" t="s">
        <v>184</v>
      </c>
      <c r="G87" s="4" t="s">
        <v>148</v>
      </c>
      <c r="H87" s="6" t="s">
        <v>587</v>
      </c>
      <c r="I87" s="7" t="n">
        <v>5</v>
      </c>
      <c r="J87" s="7" t="n">
        <v>1</v>
      </c>
      <c r="K87" s="7" t="n">
        <v>40</v>
      </c>
      <c r="L87" s="4" t="s">
        <v>149</v>
      </c>
      <c r="M87" s="6" t="s">
        <v>50</v>
      </c>
      <c r="N87" s="6" t="s">
        <v>265</v>
      </c>
    </row>
    <row r="88" customFormat="false" ht="22.35" hidden="false" customHeight="false" outlineLevel="0" collapsed="false">
      <c r="A88" s="4" t="s">
        <v>111</v>
      </c>
      <c r="B88" s="6" t="s">
        <v>112</v>
      </c>
      <c r="C88" s="4" t="s">
        <v>590</v>
      </c>
      <c r="D88" s="6" t="s">
        <v>591</v>
      </c>
      <c r="E88" s="6" t="s">
        <v>612</v>
      </c>
      <c r="F88" s="6" t="s">
        <v>611</v>
      </c>
      <c r="G88" s="4" t="s">
        <v>148</v>
      </c>
      <c r="H88" s="6" t="s">
        <v>592</v>
      </c>
      <c r="I88" s="7" t="n">
        <v>1</v>
      </c>
      <c r="J88" s="7" t="n">
        <v>1</v>
      </c>
      <c r="K88" s="7" t="n">
        <v>240</v>
      </c>
      <c r="L88" s="4" t="s">
        <v>149</v>
      </c>
      <c r="M88" s="6" t="s">
        <v>50</v>
      </c>
      <c r="N88" s="6" t="s">
        <v>594</v>
      </c>
    </row>
    <row r="89" customFormat="false" ht="32.8" hidden="false" customHeight="false" outlineLevel="0" collapsed="false">
      <c r="A89" s="4" t="s">
        <v>111</v>
      </c>
      <c r="B89" s="6" t="s">
        <v>112</v>
      </c>
      <c r="C89" s="4" t="s">
        <v>595</v>
      </c>
      <c r="D89" s="6" t="s">
        <v>596</v>
      </c>
      <c r="E89" s="6" t="s">
        <v>612</v>
      </c>
      <c r="F89" s="6" t="s">
        <v>611</v>
      </c>
      <c r="G89" s="4" t="s">
        <v>148</v>
      </c>
      <c r="H89" s="6" t="s">
        <v>597</v>
      </c>
      <c r="I89" s="7" t="n">
        <v>4</v>
      </c>
      <c r="J89" s="7" t="n">
        <v>4</v>
      </c>
      <c r="K89" s="7" t="n">
        <v>160</v>
      </c>
      <c r="L89" s="4" t="s">
        <v>172</v>
      </c>
      <c r="M89" s="6" t="s">
        <v>598</v>
      </c>
      <c r="N89" s="6" t="s">
        <v>600</v>
      </c>
    </row>
    <row r="90" customFormat="false" ht="22.35" hidden="false" customHeight="false" outlineLevel="0" collapsed="false">
      <c r="A90" s="4" t="s">
        <v>111</v>
      </c>
      <c r="B90" s="6" t="s">
        <v>112</v>
      </c>
      <c r="C90" s="4" t="s">
        <v>601</v>
      </c>
      <c r="D90" s="6" t="s">
        <v>602</v>
      </c>
      <c r="E90" s="6" t="s">
        <v>609</v>
      </c>
      <c r="F90" s="6" t="s">
        <v>184</v>
      </c>
      <c r="G90" s="4" t="s">
        <v>148</v>
      </c>
      <c r="H90" s="6" t="s">
        <v>603</v>
      </c>
      <c r="I90" s="7" t="n">
        <v>16</v>
      </c>
      <c r="J90" s="7" t="n">
        <v>4</v>
      </c>
      <c r="K90" s="7" t="n">
        <v>48</v>
      </c>
      <c r="L90" s="4" t="s">
        <v>172</v>
      </c>
      <c r="M90" s="6" t="s">
        <v>50</v>
      </c>
      <c r="N90" s="6" t="s">
        <v>50</v>
      </c>
    </row>
  </sheetData>
  <autoFilter ref="A3:N90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2026-08-29T09:52:02Z</dcterms:created>
  <dc:creator>openpyxl</dc:creator>
  <dc:description/>
  <dc:language>en-US</dc:language>
  <cp:lastModifiedBy/>
  <dcterms:modified xsi:type="dcterms:W3CDTF">2026-08-29T09:52:02Z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